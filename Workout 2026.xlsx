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At a Glance" sheetId="1" r:id="rId5"/>
    <sheet state="visible" name="Glute Press" sheetId="2" r:id="rId6"/>
    <sheet state="visible" name="Door Frame Goblin" sheetId="3" r:id="rId7"/>
    <sheet state="visible" name="Push-Ups" sheetId="4" r:id="rId8"/>
    <sheet state="visible" name="Deadlift" sheetId="5" r:id="rId9"/>
    <sheet state="visible" name="Flat Dumbell Flys" sheetId="6" r:id="rId10"/>
    <sheet state="visible" name="Inclined Dumbell Press" sheetId="7" r:id="rId11"/>
    <sheet state="visible" name="Bench Press" sheetId="8" r:id="rId12"/>
    <sheet state="visible" name="EZ-Bar Curls" sheetId="9" r:id="rId13"/>
    <sheet state="visible" name="Cable Face Pulls" sheetId="10" r:id="rId14"/>
    <sheet state="visible" name="Barbell Shrugs" sheetId="11" r:id="rId15"/>
    <sheet state="visible" name="Double Arm Cable Curls" sheetId="12" r:id="rId16"/>
    <sheet state="visible" name="Bent Over Lateral Raises" sheetId="13" r:id="rId17"/>
    <sheet state="visible" name="Up-Right Lateral Raises" sheetId="14" r:id="rId18"/>
    <sheet state="visible" name="Standing Barbell OHP" sheetId="15" r:id="rId19"/>
    <sheet state="visible" name="Squats" sheetId="16" r:id="rId20"/>
    <sheet state="visible" name="Tricep Overhead Cable" sheetId="17" r:id="rId21"/>
    <sheet state="visible" name="Skull Crushers EZ Bar" sheetId="18" r:id="rId22"/>
    <sheet state="visible" name="Tricep Cable Pushdowns" sheetId="19" r:id="rId23"/>
    <sheet state="visible" name="Single Arm Cable Curls" sheetId="20" r:id="rId24"/>
    <sheet state="visible" name="Overhead Cable Rows" sheetId="21" r:id="rId25"/>
    <sheet state="visible" name="Table Top Rows (1 armed)" sheetId="22" r:id="rId26"/>
    <sheet state="visible" name="Bent-Over Barbell Rows" sheetId="23" r:id="rId27"/>
    <sheet state="visible" name="Goblet Squat" sheetId="24" r:id="rId28"/>
    <sheet state="visible" name="Tricep Kickback" sheetId="25" r:id="rId29"/>
    <sheet state="visible" name="Abs" sheetId="26" r:id="rId30"/>
  </sheets>
  <definedNames/>
  <calcPr/>
</workbook>
</file>

<file path=xl/sharedStrings.xml><?xml version="1.0" encoding="utf-8"?>
<sst xmlns="http://schemas.openxmlformats.org/spreadsheetml/2006/main" count="720" uniqueCount="76">
  <si>
    <t>Sunday</t>
  </si>
  <si>
    <t>Monday</t>
  </si>
  <si>
    <t>Tuesday</t>
  </si>
  <si>
    <t>Wednesday</t>
  </si>
  <si>
    <t>Thursday</t>
  </si>
  <si>
    <t>Friday</t>
  </si>
  <si>
    <t>Saturday</t>
  </si>
  <si>
    <t>Back &amp; Biceps</t>
  </si>
  <si>
    <t>Chest &amp; Shoulders</t>
  </si>
  <si>
    <t>Legs &amp; Triceps</t>
  </si>
  <si>
    <t>Rest</t>
  </si>
  <si>
    <t>Bent-Over Barbell Rows</t>
  </si>
  <si>
    <t>Push-Ups</t>
  </si>
  <si>
    <t>Squats</t>
  </si>
  <si>
    <t>Deadlift</t>
  </si>
  <si>
    <t>Bench Press</t>
  </si>
  <si>
    <t>Glute Press</t>
  </si>
  <si>
    <t>Overhead Cable Rows</t>
  </si>
  <si>
    <t>Standing Barbell OHP</t>
  </si>
  <si>
    <t>Inclined Dumbell Press</t>
  </si>
  <si>
    <t>Table Top Rows (1 armed)</t>
  </si>
  <si>
    <t>Bent Over Lateral Raises</t>
  </si>
  <si>
    <t>Skull Crushers EZ Bar</t>
  </si>
  <si>
    <t>Cable Face Pulls</t>
  </si>
  <si>
    <r>
      <rPr>
        <color rgb="FFFFD966"/>
        <sz val="11.0"/>
        <u/>
      </rPr>
      <t>Flat Dumbell Fl</t>
    </r>
    <r>
      <rPr>
        <color rgb="FFFFD966"/>
        <sz val="11.0"/>
      </rPr>
      <t>ys</t>
    </r>
  </si>
  <si>
    <t>Goblet Squat</t>
  </si>
  <si>
    <t>Single Arm Cable Curls</t>
  </si>
  <si>
    <t>Door Frame Goblin</t>
  </si>
  <si>
    <t>Tricep Overhead Cable</t>
  </si>
  <si>
    <t>Barbell Shrugs</t>
  </si>
  <si>
    <t>Up-Right Lateral Raises</t>
  </si>
  <si>
    <t>Double Arm Cable Curls</t>
  </si>
  <si>
    <t>Tricep Cable Pushdowns</t>
  </si>
  <si>
    <r>
      <rPr>
        <color rgb="FFFBBC04"/>
        <sz val="11.0"/>
        <u/>
      </rPr>
      <t>EZ-Bar Curl</t>
    </r>
    <r>
      <rPr>
        <color rgb="FFFBBC04"/>
        <sz val="11.0"/>
        <u/>
      </rPr>
      <t>s</t>
    </r>
  </si>
  <si>
    <t>Tricep Kickback</t>
  </si>
  <si>
    <t>Abs</t>
  </si>
  <si>
    <t>No Abs</t>
  </si>
  <si>
    <t>Relax - Stretch - Yoga</t>
  </si>
  <si>
    <t>Figure 8 - 30 sec</t>
  </si>
  <si>
    <t>St Louis Arches - 30 Sec</t>
  </si>
  <si>
    <t>Thread the Needle - 1 Minute</t>
  </si>
  <si>
    <t>1 minute rest</t>
  </si>
  <si>
    <t>Starfish - 1 Minute</t>
  </si>
  <si>
    <t>Controlled Situps - 1 Minute</t>
  </si>
  <si>
    <t>Baby Crunches - 45 Seconds</t>
  </si>
  <si>
    <t>Excercise Name</t>
  </si>
  <si>
    <t>Excercise Description</t>
  </si>
  <si>
    <t>Date</t>
  </si>
  <si>
    <t>Rest between Sets (Minutes)</t>
  </si>
  <si>
    <t>Weight (lbs)</t>
  </si>
  <si>
    <t>Sets (Count)</t>
  </si>
  <si>
    <t>Reps (Count)</t>
  </si>
  <si>
    <t>Volume (lbs)</t>
  </si>
  <si>
    <t>Your body should look like a table top at the top range of motion. Completely parallel to the ground and SQUEEZE your bottom at the top for ~ 1 second</t>
  </si>
  <si>
    <t>Week at a Glance</t>
  </si>
  <si>
    <t>Volume (Total Reps)</t>
  </si>
  <si>
    <t>2 Sets to Failure (2x Begining and End)</t>
  </si>
  <si>
    <t>Flat Dumbell Flys</t>
  </si>
  <si>
    <t>EZ-Bar Curls</t>
  </si>
  <si>
    <t>Rear and Side Delts (Weight in each hand)</t>
  </si>
  <si>
    <t>Standing Barbell Over Head Press</t>
  </si>
  <si>
    <t xml:space="preserve">Standing Barbell Over Head Press </t>
  </si>
  <si>
    <t xml:space="preserve">Build up to your working set, </t>
  </si>
  <si>
    <t>Double donkey dick, put hands behind head, Bent elbow, push up and infront of face</t>
  </si>
  <si>
    <t>Pulley Uptop</t>
  </si>
  <si>
    <t>Double Donkey Dick, Pulldown to frame hips</t>
  </si>
  <si>
    <t>Pulley Up top</t>
  </si>
  <si>
    <t>Put a pulley above your head, with the cable attaching to the weight pinon on the floor belowl. Attach the long two handled red bar to the cable. During the row lean slightly back ~110 Degree angle and pull the bar into your upper chest.</t>
  </si>
  <si>
    <t>Grab the weight in one hand, rest the same side knee on the bench, and grab the bench with the opposite hand. Lean over such that your back is completely paralle to the floor. As if you were pushing the weight through the floor, let the weighted arm full stretch out, then controll the pull upwards such that the back of your arm makes a parallel with the floor.</t>
  </si>
  <si>
    <t>With the Long Barbell bend at a 60 degree angle at the hips, then relax your arms such that they dangle beneath you while holding the barbell. Pull the Barbell into the cavity beneath your ribs. Keep your back flattened.</t>
  </si>
  <si>
    <t>Get the back of your arm parallel to the floor, and sqeeze at the top. Make sure your arm doesn't go above parallel.</t>
  </si>
  <si>
    <t>Figure 8 - 30 seconds</t>
  </si>
  <si>
    <t>St Louis Arch - 30 Seconds</t>
  </si>
  <si>
    <t>1 minute starfish</t>
  </si>
  <si>
    <t>1 Minute Controlled Situps</t>
  </si>
  <si>
    <t>45 Seconds Baby Crunches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</si>
</sst>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5">
    <font>
      <sz val="10.0"/>
      <color rgb="FF000000"/>
      <name val="Arial"/>
      <scheme val="minor"/>
    </font>
    <font>
      <sz val="17.0"/>
      <color rgb="FFFFD966"/>
      <name val="Arial"/>
      <scheme val="minor"/>
    </font>
    <font>
      <sz val="17.0"/>
      <color rgb="FF1155CC"/>
      <name val="Arial"/>
      <scheme val="minor"/>
    </font>
    <font>
      <u/>
      <sz val="11.0"/>
      <color rgb="FFFFD966"/>
    </font>
    <font>
      <sz val="11.0"/>
      <color rgb="FFFFD966"/>
      <name val="Arial"/>
      <scheme val="minor"/>
    </font>
    <font>
      <u/>
      <sz val="11.0"/>
      <color rgb="FFFFD966"/>
    </font>
    <font/>
    <font>
      <sz val="11.0"/>
      <color theme="1"/>
      <name val="Arial"/>
      <scheme val="minor"/>
    </font>
    <font>
      <u/>
      <sz val="11.0"/>
      <color rgb="FFFFD966"/>
      <name val="Arial"/>
      <scheme val="minor"/>
    </font>
    <font>
      <u/>
      <sz val="11.0"/>
      <color rgb="FFFBBC04"/>
    </font>
    <font>
      <u/>
      <sz val="11.0"/>
      <color rgb="FFFFD966"/>
    </font>
    <font>
      <u/>
      <sz val="11.0"/>
      <color rgb="FFFFD966"/>
    </font>
    <font>
      <u/>
      <sz val="11.0"/>
      <color rgb="FFFFD966"/>
    </font>
    <font>
      <u/>
      <sz val="11.0"/>
      <color rgb="FFFFD966"/>
    </font>
    <font>
      <b/>
      <sz val="11.0"/>
      <color theme="1"/>
      <name val="Arial"/>
      <scheme val="minor"/>
    </font>
    <font>
      <color theme="1"/>
      <name val="Arial"/>
      <scheme val="minor"/>
    </font>
    <font>
      <b/>
      <sz val="16.0"/>
      <color rgb="FFFFD966"/>
      <name val="Arial"/>
      <scheme val="minor"/>
    </font>
    <font>
      <b/>
      <sz val="13.0"/>
      <color rgb="FF1155CC"/>
      <name val="Arial"/>
      <scheme val="minor"/>
    </font>
    <font>
      <color rgb="FF1155CC"/>
      <name val="Arial"/>
      <scheme val="minor"/>
    </font>
    <font>
      <sz val="13.0"/>
      <color rgb="FF1155CC"/>
      <name val="Arial"/>
      <scheme val="minor"/>
    </font>
    <font>
      <b/>
      <sz val="13.0"/>
      <color rgb="FF3C78D8"/>
      <name val="Arial"/>
      <scheme val="minor"/>
    </font>
    <font>
      <b/>
      <u/>
      <sz val="15.0"/>
      <color rgb="FF3C78D8"/>
    </font>
    <font>
      <b/>
      <strike/>
      <sz val="13.0"/>
      <color rgb="FFFBBC04"/>
      <name val="Arial"/>
      <scheme val="minor"/>
    </font>
    <font>
      <b/>
      <sz val="13.0"/>
      <color rgb="FFFBBC04"/>
      <name val="Arial"/>
      <scheme val="minor"/>
    </font>
    <font>
      <u/>
      <color rgb="FFFFE599"/>
    </font>
  </fonts>
  <fills count="8">
    <fill>
      <patternFill patternType="none"/>
    </fill>
    <fill>
      <patternFill patternType="lightGray"/>
    </fill>
    <fill>
      <patternFill patternType="solid">
        <fgColor rgb="FF3C78D8"/>
        <bgColor rgb="FF3C78D8"/>
      </patternFill>
    </fill>
    <fill>
      <patternFill patternType="solid">
        <fgColor rgb="FFFFE599"/>
        <bgColor rgb="FFFFE599"/>
      </patternFill>
    </fill>
    <fill>
      <patternFill patternType="solid">
        <fgColor rgb="FF6D9EEB"/>
        <bgColor rgb="FF6D9EEB"/>
      </patternFill>
    </fill>
    <fill>
      <patternFill patternType="solid">
        <fgColor rgb="FFFFF2CC"/>
        <bgColor rgb="FFFFF2CC"/>
      </patternFill>
    </fill>
    <fill>
      <patternFill patternType="solid">
        <fgColor rgb="FFFFD966"/>
        <bgColor rgb="FFFFD966"/>
      </patternFill>
    </fill>
    <fill>
      <patternFill patternType="solid">
        <fgColor rgb="FF0000FF"/>
        <bgColor rgb="FF0000FF"/>
      </patternFill>
    </fill>
  </fills>
  <borders count="13">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shrinkToFit="0" wrapText="1"/>
    </xf>
    <xf borderId="3" fillId="2" fontId="3" numFmtId="0" xfId="0" applyAlignment="1" applyBorder="1" applyFont="1">
      <alignment horizontal="center" readingOrder="0" shrinkToFit="0" vertical="center" wrapText="1"/>
    </xf>
    <xf borderId="3" fillId="2" fontId="4" numFmtId="0" xfId="0" applyAlignment="1" applyBorder="1" applyFont="1">
      <alignment horizontal="center" readingOrder="0" shrinkToFit="0" vertical="center" wrapText="1"/>
    </xf>
    <xf borderId="3" fillId="2" fontId="5" numFmtId="0" xfId="0" applyAlignment="1" applyBorder="1" applyFont="1">
      <alignment horizontal="center" readingOrder="0" shrinkToFit="0" vertical="center" wrapText="1"/>
    </xf>
    <xf borderId="3" fillId="0" fontId="6" numFmtId="0" xfId="0" applyBorder="1" applyFont="1"/>
    <xf borderId="3" fillId="0" fontId="7" numFmtId="0" xfId="0" applyAlignment="1" applyBorder="1" applyFont="1">
      <alignment shrinkToFit="0" wrapText="1"/>
    </xf>
    <xf borderId="3" fillId="2" fontId="8" numFmtId="0" xfId="0" applyAlignment="1" applyBorder="1" applyFont="1">
      <alignment horizontal="center" readingOrder="0" shrinkToFit="0" vertical="center" wrapText="1"/>
    </xf>
    <xf borderId="2" fillId="0" fontId="6" numFmtId="0" xfId="0" applyBorder="1" applyFont="1"/>
    <xf borderId="3" fillId="2" fontId="9" numFmtId="0" xfId="0" applyAlignment="1" applyBorder="1" applyFont="1">
      <alignment horizontal="center" readingOrder="0" shrinkToFit="0" vertical="center" wrapText="1"/>
    </xf>
    <xf borderId="2" fillId="0" fontId="7" numFmtId="0" xfId="0" applyAlignment="1" applyBorder="1" applyFont="1">
      <alignment shrinkToFit="0" wrapText="1"/>
    </xf>
    <xf borderId="2" fillId="2" fontId="10" numFmtId="0" xfId="0" applyAlignment="1" applyBorder="1" applyFont="1">
      <alignment horizontal="center" readingOrder="0" shrinkToFit="0" vertical="center" wrapText="1"/>
    </xf>
    <xf borderId="4" fillId="2" fontId="11"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5" fillId="2" fontId="12" numFmtId="0" xfId="0" applyAlignment="1" applyBorder="1" applyFont="1">
      <alignment horizontal="center" readingOrder="0" shrinkToFit="0" vertical="center" wrapText="1"/>
    </xf>
    <xf borderId="1" fillId="2" fontId="13" numFmtId="0" xfId="0" applyAlignment="1" applyBorder="1" applyFont="1">
      <alignment horizontal="center" readingOrder="0" shrinkToFit="0" vertical="center" wrapText="1"/>
    </xf>
    <xf borderId="6" fillId="3" fontId="7" numFmtId="0" xfId="0" applyAlignment="1" applyBorder="1" applyFont="1">
      <alignment readingOrder="0" shrinkToFit="0" wrapText="1"/>
    </xf>
    <xf borderId="7" fillId="3" fontId="7" numFmtId="0" xfId="0" applyAlignment="1" applyBorder="1" applyFont="1">
      <alignment readingOrder="0" shrinkToFit="0" wrapText="1"/>
    </xf>
    <xf borderId="3" fillId="3" fontId="7" numFmtId="0" xfId="0" applyAlignment="1" applyBorder="1" applyFont="1">
      <alignment readingOrder="0" shrinkToFit="0" wrapText="1"/>
    </xf>
    <xf borderId="6" fillId="3" fontId="14" numFmtId="0" xfId="0" applyAlignment="1" applyBorder="1" applyFont="1">
      <alignment horizontal="center" readingOrder="0" shrinkToFit="0" wrapText="1"/>
    </xf>
    <xf borderId="7" fillId="3" fontId="14" numFmtId="0" xfId="0" applyAlignment="1" applyBorder="1" applyFont="1">
      <alignment horizontal="center" readingOrder="0" shrinkToFit="0" wrapText="1"/>
    </xf>
    <xf borderId="3" fillId="3" fontId="14" numFmtId="0" xfId="0" applyAlignment="1" applyBorder="1" applyFont="1">
      <alignment horizontal="center" readingOrder="0" shrinkToFit="0" wrapText="1"/>
    </xf>
    <xf borderId="8" fillId="3" fontId="7" numFmtId="0" xfId="0" applyAlignment="1" applyBorder="1" applyFont="1">
      <alignment readingOrder="0" shrinkToFit="0" wrapText="1"/>
    </xf>
    <xf borderId="9" fillId="3" fontId="7" numFmtId="0" xfId="0" applyAlignment="1" applyBorder="1" applyFont="1">
      <alignment readingOrder="0" shrinkToFit="0" wrapText="1"/>
    </xf>
    <xf borderId="2" fillId="3" fontId="7" numFmtId="0" xfId="0" applyAlignment="1" applyBorder="1" applyFont="1">
      <alignment readingOrder="0" shrinkToFit="0" wrapText="1"/>
    </xf>
    <xf borderId="0" fillId="0" fontId="7" numFmtId="0" xfId="0" applyAlignment="1" applyFont="1">
      <alignment shrinkToFit="0" wrapText="1"/>
    </xf>
    <xf borderId="0" fillId="0" fontId="7" numFmtId="0" xfId="0" applyAlignment="1" applyFont="1">
      <alignment readingOrder="0" shrinkToFit="0" wrapText="1"/>
    </xf>
    <xf borderId="0" fillId="0" fontId="15" numFmtId="0" xfId="0" applyAlignment="1" applyFont="1">
      <alignment shrinkToFit="0" wrapText="1"/>
    </xf>
    <xf borderId="10" fillId="4" fontId="16" numFmtId="0" xfId="0" applyAlignment="1" applyBorder="1" applyFill="1" applyFont="1">
      <alignment horizontal="center" readingOrder="0" shrinkToFit="0" vertical="center" wrapText="1"/>
    </xf>
    <xf borderId="11" fillId="4" fontId="16" numFmtId="0" xfId="0" applyAlignment="1" applyBorder="1" applyFont="1">
      <alignment horizontal="center" readingOrder="0" shrinkToFit="0" vertical="center" wrapText="1"/>
    </xf>
    <xf borderId="12" fillId="4" fontId="16" numFmtId="0" xfId="0" applyAlignment="1" applyBorder="1" applyFont="1">
      <alignment horizontal="center" readingOrder="0" shrinkToFit="0" vertical="center" wrapText="1"/>
    </xf>
    <xf borderId="0" fillId="5" fontId="17" numFmtId="0" xfId="0" applyAlignment="1" applyFill="1" applyFont="1">
      <alignment horizontal="center" readingOrder="0" shrinkToFit="0" vertical="center" wrapText="1"/>
    </xf>
    <xf borderId="0" fillId="5" fontId="18" numFmtId="0" xfId="0" applyAlignment="1" applyFont="1">
      <alignment horizontal="center" readingOrder="0" shrinkToFit="0" vertical="center" wrapText="1"/>
    </xf>
    <xf borderId="0" fillId="5" fontId="17" numFmtId="164" xfId="0" applyAlignment="1" applyFont="1" applyNumberFormat="1">
      <alignment horizontal="center" readingOrder="0" vertical="center"/>
    </xf>
    <xf borderId="0" fillId="5" fontId="19" numFmtId="0" xfId="0" applyAlignment="1" applyFont="1">
      <alignment horizontal="center" readingOrder="0" vertical="center"/>
    </xf>
    <xf borderId="0" fillId="3" fontId="17" numFmtId="0" xfId="0" applyAlignment="1" applyFont="1">
      <alignment horizontal="center" readingOrder="0" vertical="center"/>
    </xf>
    <xf borderId="0" fillId="3" fontId="19" numFmtId="0" xfId="0" applyAlignment="1" applyFont="1">
      <alignment horizontal="center" readingOrder="0" vertical="center"/>
    </xf>
    <xf borderId="0" fillId="6" fontId="20" numFmtId="0" xfId="0" applyAlignment="1" applyFill="1" applyFont="1">
      <alignment horizontal="center" vertical="center"/>
    </xf>
    <xf borderId="10" fillId="3" fontId="21" numFmtId="0" xfId="0" applyAlignment="1" applyBorder="1" applyFont="1">
      <alignment horizontal="center" readingOrder="0" shrinkToFit="0" vertical="center" wrapText="1"/>
    </xf>
    <xf borderId="11" fillId="0" fontId="6" numFmtId="0" xfId="0" applyBorder="1" applyFont="1"/>
    <xf borderId="12" fillId="0" fontId="6" numFmtId="0" xfId="0" applyBorder="1" applyFont="1"/>
    <xf borderId="0" fillId="6" fontId="20" numFmtId="0" xfId="0" applyAlignment="1" applyFont="1">
      <alignment horizontal="center" readingOrder="0" vertical="center"/>
    </xf>
    <xf borderId="0" fillId="7" fontId="22" numFmtId="0" xfId="0" applyAlignment="1" applyFill="1" applyFont="1">
      <alignment horizontal="center" readingOrder="0" vertical="center"/>
    </xf>
    <xf borderId="0" fillId="7" fontId="23" numFmtId="164" xfId="0" applyAlignment="1" applyFont="1" applyNumberFormat="1">
      <alignment horizontal="center" readingOrder="0" vertical="center"/>
    </xf>
    <xf borderId="0" fillId="2" fontId="24" numFmtId="0" xfId="0" applyAlignment="1" applyFont="1">
      <alignment horizontal="center" readingOrder="0" vertical="center"/>
    </xf>
    <xf borderId="0" fillId="3" fontId="15" numFmtId="0" xfId="0" applyAlignment="1" applyFont="1">
      <alignment readingOrder="0"/>
    </xf>
    <xf borderId="0" fillId="3" fontId="15"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Glute Press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'Glute Press'!$C$1:$C$1000</c:f>
            </c:strRef>
          </c:cat>
          <c:val>
            <c:numRef>
              <c:f>'Glute Press'!$H$1:$H$1000</c:f>
              <c:numCache/>
            </c:numRef>
          </c:val>
        </c:ser>
        <c:axId val="1086881834"/>
        <c:axId val="1927338576"/>
      </c:barChart>
      <c:catAx>
        <c:axId val="1086881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27338576"/>
      </c:catAx>
      <c:valAx>
        <c:axId val="1927338576"/>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688183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Glute Press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'Door Frame Goblin'!$C$1:$C$1000</c:f>
            </c:strRef>
          </c:cat>
          <c:val>
            <c:numRef>
              <c:f>'Door Frame Goblin'!$H$1:$H$1000</c:f>
              <c:numCache/>
            </c:numRef>
          </c:val>
        </c:ser>
        <c:axId val="1028837646"/>
        <c:axId val="1210893258"/>
      </c:barChart>
      <c:catAx>
        <c:axId val="10288376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10893258"/>
      </c:catAx>
      <c:valAx>
        <c:axId val="121089325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883764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Push-Ups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'Push-Ups'!$C$1:$C$1000</c:f>
            </c:strRef>
          </c:cat>
          <c:val>
            <c:numRef>
              <c:f>'Push-Ups'!$H$1:$H$1000</c:f>
              <c:numCache/>
            </c:numRef>
          </c:val>
        </c:ser>
        <c:axId val="427661687"/>
        <c:axId val="375649840"/>
      </c:barChart>
      <c:catAx>
        <c:axId val="4276616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75649840"/>
      </c:catAx>
      <c:valAx>
        <c:axId val="375649840"/>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(Total Reps)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766168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Deadlift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Deadlift!$C$1:$C$1000</c:f>
            </c:strRef>
          </c:cat>
          <c:val>
            <c:numRef>
              <c:f>Deadlift!$H$1:$H$1000</c:f>
              <c:numCache/>
            </c:numRef>
          </c:val>
        </c:ser>
        <c:axId val="947329759"/>
        <c:axId val="1128599213"/>
      </c:barChart>
      <c:catAx>
        <c:axId val="9473297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28599213"/>
      </c:catAx>
      <c:valAx>
        <c:axId val="112859921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732975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Flat Dumbell Flys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'Flat Dumbell Flys'!$C$1:$C$1000</c:f>
            </c:strRef>
          </c:cat>
          <c:val>
            <c:numRef>
              <c:f>'Flat Dumbell Flys'!$H$1:$H$1000</c:f>
              <c:numCache/>
            </c:numRef>
          </c:val>
        </c:ser>
        <c:axId val="377063374"/>
        <c:axId val="397459589"/>
      </c:barChart>
      <c:catAx>
        <c:axId val="377063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97459589"/>
      </c:catAx>
      <c:valAx>
        <c:axId val="39745958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706337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Deadlift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'Inclined Dumbell Press'!$C$1:$C$1000</c:f>
            </c:strRef>
          </c:cat>
          <c:val>
            <c:numRef>
              <c:f>'Inclined Dumbell Press'!$H$1:$H$1000</c:f>
              <c:numCache/>
            </c:numRef>
          </c:val>
        </c:ser>
        <c:axId val="343976863"/>
        <c:axId val="350108890"/>
      </c:barChart>
      <c:catAx>
        <c:axId val="3439768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50108890"/>
      </c:catAx>
      <c:valAx>
        <c:axId val="350108890"/>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397686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Bench Press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'Bench Press'!$C$1:$C$1000</c:f>
            </c:strRef>
          </c:cat>
          <c:val>
            <c:numRef>
              <c:f>'Bench Press'!$H$1:$H$1000</c:f>
              <c:numCache/>
            </c:numRef>
          </c:val>
        </c:ser>
        <c:axId val="668175608"/>
        <c:axId val="1468978232"/>
      </c:barChart>
      <c:catAx>
        <c:axId val="668175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68978232"/>
      </c:catAx>
      <c:valAx>
        <c:axId val="1468978232"/>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817560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EZ-Bar Curls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'EZ-Bar Curls'!$C$1:$C$1000</c:f>
            </c:strRef>
          </c:cat>
          <c:val>
            <c:numRef>
              <c:f>'EZ-Bar Curls'!$H$1:$H$1000</c:f>
              <c:numCache/>
            </c:numRef>
          </c:val>
        </c:ser>
        <c:axId val="1296091857"/>
        <c:axId val="101186668"/>
      </c:barChart>
      <c:catAx>
        <c:axId val="12960918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1186668"/>
      </c:catAx>
      <c:valAx>
        <c:axId val="10118666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609185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Cable Face Pulls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'Cable Face Pulls'!$C$1:$C$1000</c:f>
            </c:strRef>
          </c:cat>
          <c:val>
            <c:numRef>
              <c:f>'Cable Face Pulls'!$H$1:$H$1000</c:f>
              <c:numCache/>
            </c:numRef>
          </c:val>
        </c:ser>
        <c:axId val="737228209"/>
        <c:axId val="1099916511"/>
      </c:barChart>
      <c:catAx>
        <c:axId val="7372282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99916511"/>
      </c:catAx>
      <c:valAx>
        <c:axId val="1099916511"/>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7228209"/>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Barbell Shrugs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'Barbell Shrugs'!$C$1:$C$1000</c:f>
            </c:strRef>
          </c:cat>
          <c:val>
            <c:numRef>
              <c:f>'Barbell Shrugs'!$H$1:$H$1000</c:f>
              <c:numCache/>
            </c:numRef>
          </c:val>
        </c:ser>
        <c:axId val="1311146052"/>
        <c:axId val="1774563847"/>
      </c:barChart>
      <c:catAx>
        <c:axId val="13111460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74563847"/>
      </c:catAx>
      <c:valAx>
        <c:axId val="177456384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114605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Double Arm Cable Curls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'Double Arm Cable Curls'!$C$1:$C$1000</c:f>
            </c:strRef>
          </c:cat>
          <c:val>
            <c:numRef>
              <c:f>'Double Arm Cable Curls'!$H$1:$H$1000</c:f>
              <c:numCache/>
            </c:numRef>
          </c:val>
        </c:ser>
        <c:axId val="2058528156"/>
        <c:axId val="999440508"/>
      </c:barChart>
      <c:catAx>
        <c:axId val="2058528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99440508"/>
      </c:catAx>
      <c:valAx>
        <c:axId val="99944050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8528156"/>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Bent Over Lateral Raises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'Bent Over Lateral Raises'!$C$1:$C$1000</c:f>
            </c:strRef>
          </c:cat>
          <c:val>
            <c:numRef>
              <c:f>'Bent Over Lateral Raises'!$H$1:$H$1000</c:f>
              <c:numCache/>
            </c:numRef>
          </c:val>
        </c:ser>
        <c:axId val="1720321586"/>
        <c:axId val="371479548"/>
      </c:barChart>
      <c:catAx>
        <c:axId val="1720321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71479548"/>
      </c:catAx>
      <c:valAx>
        <c:axId val="37147954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0321586"/>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Up-Right Lateral Raises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'Up-Right Lateral Raises'!$C$1:$C$1000</c:f>
            </c:strRef>
          </c:cat>
          <c:val>
            <c:numRef>
              <c:f>'Up-Right Lateral Raises'!$H$1:$H$1000</c:f>
              <c:numCache/>
            </c:numRef>
          </c:val>
        </c:ser>
        <c:axId val="1781695587"/>
        <c:axId val="326480498"/>
      </c:barChart>
      <c:catAx>
        <c:axId val="17816955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26480498"/>
      </c:catAx>
      <c:valAx>
        <c:axId val="32648049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1695587"/>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Standing Barbell Over Head Press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'Standing Barbell OHP'!$C$1:$C$1000</c:f>
            </c:strRef>
          </c:cat>
          <c:val>
            <c:numRef>
              <c:f>'Standing Barbell OHP'!$H$1:$H$1000</c:f>
              <c:numCache/>
            </c:numRef>
          </c:val>
        </c:ser>
        <c:axId val="1498124136"/>
        <c:axId val="92694270"/>
      </c:barChart>
      <c:catAx>
        <c:axId val="14981241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2694270"/>
      </c:catAx>
      <c:valAx>
        <c:axId val="92694270"/>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8124136"/>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Squats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Squats!$C$1:$C$1000</c:f>
            </c:strRef>
          </c:cat>
          <c:val>
            <c:numRef>
              <c:f>Squats!$H$1:$H$1000</c:f>
              <c:numCache/>
            </c:numRef>
          </c:val>
        </c:ser>
        <c:axId val="1518747131"/>
        <c:axId val="1372551975"/>
      </c:barChart>
      <c:catAx>
        <c:axId val="15187471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72551975"/>
      </c:catAx>
      <c:valAx>
        <c:axId val="1372551975"/>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8747131"/>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Tricep Overhead Cable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'Tricep Overhead Cable'!$C$1:$C$1000</c:f>
            </c:strRef>
          </c:cat>
          <c:val>
            <c:numRef>
              <c:f>'Tricep Overhead Cable'!$H$1:$H$1000</c:f>
              <c:numCache/>
            </c:numRef>
          </c:val>
        </c:ser>
        <c:axId val="61472078"/>
        <c:axId val="457380372"/>
      </c:barChart>
      <c:catAx>
        <c:axId val="614720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57380372"/>
      </c:catAx>
      <c:valAx>
        <c:axId val="457380372"/>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472078"/>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Skull Crushers EZ Bar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'Skull Crushers EZ Bar'!$C$1:$C$1000</c:f>
            </c:strRef>
          </c:cat>
          <c:val>
            <c:numRef>
              <c:f>'Skull Crushers EZ Bar'!$H$1:$H$1000</c:f>
              <c:numCache/>
            </c:numRef>
          </c:val>
        </c:ser>
        <c:axId val="1700920040"/>
        <c:axId val="24946193"/>
      </c:barChart>
      <c:catAx>
        <c:axId val="17009200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4946193"/>
      </c:catAx>
      <c:valAx>
        <c:axId val="2494619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0920040"/>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Tricep Cable Pushdowns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'Tricep Cable Pushdowns'!$C$1:$C$1000</c:f>
            </c:strRef>
          </c:cat>
          <c:val>
            <c:numRef>
              <c:f>'Tricep Cable Pushdowns'!$H$1:$H$1000</c:f>
              <c:numCache/>
            </c:numRef>
          </c:val>
        </c:ser>
        <c:axId val="1323156742"/>
        <c:axId val="294683485"/>
      </c:barChart>
      <c:catAx>
        <c:axId val="1323156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94683485"/>
      </c:catAx>
      <c:valAx>
        <c:axId val="294683485"/>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3156742"/>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SIngle Arm Cable Curls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'Single Arm Cable Curls'!$C$1:$C$1000</c:f>
            </c:strRef>
          </c:cat>
          <c:val>
            <c:numRef>
              <c:f>'Single Arm Cable Curls'!$H$1:$H$1000</c:f>
              <c:numCache/>
            </c:numRef>
          </c:val>
        </c:ser>
        <c:axId val="1058286828"/>
        <c:axId val="101734466"/>
      </c:barChart>
      <c:catAx>
        <c:axId val="10582868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1734466"/>
      </c:catAx>
      <c:valAx>
        <c:axId val="101734466"/>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8286828"/>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Overhead Cable Rows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'Overhead Cable Rows'!$C$1:$C$1000</c:f>
            </c:strRef>
          </c:cat>
          <c:val>
            <c:numRef>
              <c:f>'Overhead Cable Rows'!$H$1:$H$1000</c:f>
              <c:numCache/>
            </c:numRef>
          </c:val>
        </c:ser>
        <c:axId val="1263509863"/>
        <c:axId val="1060887814"/>
      </c:barChart>
      <c:catAx>
        <c:axId val="12635098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60887814"/>
      </c:catAx>
      <c:valAx>
        <c:axId val="1060887814"/>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3509863"/>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Table Top Rows (1 armed)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'Table Top Rows (1 armed)'!$C$1:$C$1000</c:f>
            </c:strRef>
          </c:cat>
          <c:val>
            <c:numRef>
              <c:f>'Table Top Rows (1 armed)'!$H$1:$H$1000</c:f>
              <c:numCache/>
            </c:numRef>
          </c:val>
        </c:ser>
        <c:axId val="582046756"/>
        <c:axId val="1792929499"/>
      </c:barChart>
      <c:catAx>
        <c:axId val="5820467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92929499"/>
      </c:catAx>
      <c:valAx>
        <c:axId val="179292949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2046756"/>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Bent-Over Barbell Rows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'Bent-Over Barbell Rows'!$C$1:$C$1000</c:f>
            </c:strRef>
          </c:cat>
          <c:val>
            <c:numRef>
              <c:f>'Bent-Over Barbell Rows'!$H$1:$H$1000</c:f>
              <c:numCache/>
            </c:numRef>
          </c:val>
        </c:ser>
        <c:axId val="252701318"/>
        <c:axId val="1058513719"/>
      </c:barChart>
      <c:catAx>
        <c:axId val="2527013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58513719"/>
      </c:catAx>
      <c:valAx>
        <c:axId val="105851371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2701318"/>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Goblet Squat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'Goblet Squat'!$C$1:$C$1000</c:f>
            </c:strRef>
          </c:cat>
          <c:val>
            <c:numRef>
              <c:f>'Goblet Squat'!$H$1:$H$1000</c:f>
              <c:numCache/>
            </c:numRef>
          </c:val>
        </c:ser>
        <c:axId val="1736465629"/>
        <c:axId val="994546289"/>
      </c:barChart>
      <c:catAx>
        <c:axId val="17364656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94546289"/>
      </c:catAx>
      <c:valAx>
        <c:axId val="99454628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6465629"/>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Tricep Kickback Volume Over Time</a:t>
            </a:r>
          </a:p>
        </c:rich>
      </c:tx>
      <c:overlay val="0"/>
    </c:title>
    <c:plotArea>
      <c:layout/>
      <c:barChart>
        <c:barDir val="col"/>
        <c:ser>
          <c:idx val="0"/>
          <c:order val="0"/>
          <c:spPr>
            <a:solidFill>
              <a:srgbClr val="4285F4">
                <a:alpha val="50196"/>
              </a:srgbClr>
            </a:solidFill>
            <a:ln cmpd="sng">
              <a:solidFill>
                <a:srgbClr val="000000"/>
              </a:solidFill>
            </a:ln>
          </c:spPr>
          <c:trendline>
            <c:name>Trendline for series 1</c:name>
            <c:spPr>
              <a:ln w="19050">
                <a:solidFill>
                  <a:srgbClr val="F1C232">
                    <a:alpha val="90196"/>
                  </a:srgbClr>
                </a:solidFill>
              </a:ln>
            </c:spPr>
            <c:trendlineType val="exp"/>
            <c:dispRSqr val="0"/>
            <c:dispEq val="0"/>
          </c:trendline>
          <c:cat>
            <c:strRef>
              <c:f>'Tricep Kickback'!$C$1:$C$1000</c:f>
            </c:strRef>
          </c:cat>
          <c:val>
            <c:numRef>
              <c:f>'Tricep Kickback'!$H$1:$H$1000</c:f>
              <c:numCache/>
            </c:numRef>
          </c:val>
        </c:ser>
        <c:axId val="1593000190"/>
        <c:axId val="1804590746"/>
      </c:barChart>
      <c:catAx>
        <c:axId val="1593000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04590746"/>
      </c:catAx>
      <c:valAx>
        <c:axId val="1804590746"/>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Volume (lbs)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300019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361950</xdr:colOff>
      <xdr:row>7</xdr:row>
      <xdr:rowOff>152400</xdr:rowOff>
    </xdr:from>
    <xdr:ext cx="8086725" cy="50006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47625</xdr:colOff>
      <xdr:row>0</xdr:row>
      <xdr:rowOff>0</xdr:rowOff>
    </xdr:from>
    <xdr:ext cx="8086725" cy="50006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85725</xdr:colOff>
      <xdr:row>0</xdr:row>
      <xdr:rowOff>57150</xdr:rowOff>
    </xdr:from>
    <xdr:ext cx="8086725" cy="50006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0</xdr:row>
      <xdr:rowOff>28575</xdr:rowOff>
    </xdr:from>
    <xdr:ext cx="8086725" cy="50006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0</xdr:row>
      <xdr:rowOff>28575</xdr:rowOff>
    </xdr:from>
    <xdr:ext cx="8086725" cy="50006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0</xdr:row>
      <xdr:rowOff>28575</xdr:rowOff>
    </xdr:from>
    <xdr:ext cx="8086725" cy="500062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0</xdr:row>
      <xdr:rowOff>28575</xdr:rowOff>
    </xdr:from>
    <xdr:ext cx="8086725" cy="50006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0</xdr:row>
      <xdr:rowOff>28575</xdr:rowOff>
    </xdr:from>
    <xdr:ext cx="8086725" cy="500062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8" name="Chart 1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20" name="Chart 2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21" name="Chart 2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23" name="Chart 2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1</xdr:row>
      <xdr:rowOff>28575</xdr:rowOff>
    </xdr:from>
    <xdr:ext cx="8086725" cy="5000625"/>
    <xdr:graphicFrame>
      <xdr:nvGraphicFramePr>
        <xdr:cNvPr id="24" name="Chart 2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6.13"/>
    <col customWidth="1" min="3" max="3" width="25.13"/>
    <col customWidth="1" min="4" max="4" width="26.13"/>
    <col customWidth="1" min="5" max="5" width="21.63"/>
    <col customWidth="1" min="6" max="6" width="26.13"/>
    <col customWidth="1" min="7" max="7" width="25.13"/>
  </cols>
  <sheetData>
    <row r="1">
      <c r="A1" s="1" t="s">
        <v>0</v>
      </c>
      <c r="B1" s="1" t="s">
        <v>1</v>
      </c>
      <c r="C1" s="1" t="s">
        <v>2</v>
      </c>
      <c r="D1" s="1" t="s">
        <v>3</v>
      </c>
      <c r="E1" s="1" t="s">
        <v>4</v>
      </c>
      <c r="F1" s="1" t="s">
        <v>5</v>
      </c>
      <c r="G1" s="1" t="s">
        <v>6</v>
      </c>
    </row>
    <row r="2">
      <c r="A2" s="2" t="s">
        <v>7</v>
      </c>
      <c r="B2" s="2" t="s">
        <v>8</v>
      </c>
      <c r="C2" s="2" t="s">
        <v>9</v>
      </c>
      <c r="D2" s="2" t="s">
        <v>10</v>
      </c>
      <c r="E2" s="2" t="s">
        <v>7</v>
      </c>
      <c r="F2" s="2" t="s">
        <v>8</v>
      </c>
      <c r="G2" s="2" t="s">
        <v>9</v>
      </c>
    </row>
    <row r="3">
      <c r="A3" s="3" t="s">
        <v>11</v>
      </c>
      <c r="B3" s="3" t="s">
        <v>12</v>
      </c>
      <c r="C3" s="3" t="s">
        <v>13</v>
      </c>
      <c r="D3" s="4" t="s">
        <v>10</v>
      </c>
      <c r="E3" s="5" t="s">
        <v>14</v>
      </c>
      <c r="F3" s="3" t="s">
        <v>15</v>
      </c>
      <c r="G3" s="3" t="s">
        <v>16</v>
      </c>
    </row>
    <row r="4">
      <c r="A4" s="5" t="s">
        <v>17</v>
      </c>
      <c r="B4" s="3" t="s">
        <v>18</v>
      </c>
      <c r="D4" s="6"/>
      <c r="F4" s="5" t="s">
        <v>19</v>
      </c>
      <c r="G4" s="7"/>
    </row>
    <row r="5">
      <c r="A5" s="5" t="s">
        <v>20</v>
      </c>
      <c r="B5" s="3" t="s">
        <v>21</v>
      </c>
      <c r="C5" s="3" t="s">
        <v>22</v>
      </c>
      <c r="D5" s="6"/>
      <c r="E5" s="5" t="s">
        <v>23</v>
      </c>
      <c r="F5" s="3" t="s">
        <v>24</v>
      </c>
      <c r="G5" s="5" t="s">
        <v>25</v>
      </c>
    </row>
    <row r="6">
      <c r="A6" s="3" t="s">
        <v>26</v>
      </c>
      <c r="B6" s="8" t="s">
        <v>27</v>
      </c>
      <c r="C6" s="3" t="s">
        <v>28</v>
      </c>
      <c r="D6" s="6"/>
      <c r="E6" s="5" t="s">
        <v>29</v>
      </c>
      <c r="F6" s="5" t="s">
        <v>30</v>
      </c>
      <c r="G6" s="7"/>
    </row>
    <row r="7">
      <c r="A7" s="3" t="s">
        <v>31</v>
      </c>
      <c r="B7" s="3" t="s">
        <v>12</v>
      </c>
      <c r="C7" s="3" t="s">
        <v>32</v>
      </c>
      <c r="D7" s="9"/>
      <c r="E7" s="10" t="s">
        <v>33</v>
      </c>
      <c r="F7" s="11"/>
      <c r="G7" s="12" t="s">
        <v>34</v>
      </c>
    </row>
    <row r="8">
      <c r="A8" s="13" t="s">
        <v>35</v>
      </c>
      <c r="B8" s="14" t="s">
        <v>36</v>
      </c>
      <c r="C8" s="15" t="s">
        <v>35</v>
      </c>
      <c r="D8" s="4" t="s">
        <v>37</v>
      </c>
      <c r="E8" s="16" t="s">
        <v>35</v>
      </c>
      <c r="F8" s="14" t="s">
        <v>36</v>
      </c>
      <c r="G8" s="16" t="s">
        <v>35</v>
      </c>
    </row>
    <row r="9">
      <c r="A9" s="17" t="s">
        <v>38</v>
      </c>
      <c r="B9" s="6"/>
      <c r="C9" s="18" t="s">
        <v>38</v>
      </c>
      <c r="D9" s="6"/>
      <c r="E9" s="19" t="s">
        <v>38</v>
      </c>
      <c r="F9" s="6"/>
      <c r="G9" s="19" t="s">
        <v>38</v>
      </c>
    </row>
    <row r="10">
      <c r="A10" s="17" t="s">
        <v>39</v>
      </c>
      <c r="B10" s="6"/>
      <c r="C10" s="18" t="s">
        <v>39</v>
      </c>
      <c r="D10" s="6"/>
      <c r="E10" s="19" t="s">
        <v>39</v>
      </c>
      <c r="F10" s="6"/>
      <c r="G10" s="19" t="s">
        <v>39</v>
      </c>
    </row>
    <row r="11">
      <c r="A11" s="17" t="s">
        <v>40</v>
      </c>
      <c r="B11" s="6"/>
      <c r="C11" s="18" t="s">
        <v>40</v>
      </c>
      <c r="D11" s="6"/>
      <c r="E11" s="19" t="s">
        <v>40</v>
      </c>
      <c r="F11" s="6"/>
      <c r="G11" s="19" t="s">
        <v>40</v>
      </c>
    </row>
    <row r="12">
      <c r="A12" s="20" t="s">
        <v>41</v>
      </c>
      <c r="B12" s="6"/>
      <c r="C12" s="21" t="s">
        <v>41</v>
      </c>
      <c r="D12" s="6"/>
      <c r="E12" s="22" t="s">
        <v>41</v>
      </c>
      <c r="F12" s="6"/>
      <c r="G12" s="22" t="s">
        <v>41</v>
      </c>
    </row>
    <row r="13">
      <c r="A13" s="17" t="s">
        <v>42</v>
      </c>
      <c r="B13" s="6"/>
      <c r="C13" s="18" t="s">
        <v>42</v>
      </c>
      <c r="D13" s="6"/>
      <c r="E13" s="19" t="s">
        <v>42</v>
      </c>
      <c r="F13" s="6"/>
      <c r="G13" s="19" t="s">
        <v>42</v>
      </c>
    </row>
    <row r="14">
      <c r="A14" s="17" t="s">
        <v>43</v>
      </c>
      <c r="B14" s="6"/>
      <c r="C14" s="18" t="s">
        <v>43</v>
      </c>
      <c r="D14" s="6"/>
      <c r="E14" s="19" t="s">
        <v>43</v>
      </c>
      <c r="F14" s="6"/>
      <c r="G14" s="19" t="s">
        <v>43</v>
      </c>
    </row>
    <row r="15">
      <c r="A15" s="23" t="s">
        <v>44</v>
      </c>
      <c r="B15" s="9"/>
      <c r="C15" s="24" t="s">
        <v>44</v>
      </c>
      <c r="D15" s="9"/>
      <c r="E15" s="25" t="s">
        <v>44</v>
      </c>
      <c r="F15" s="9"/>
      <c r="G15" s="25" t="s">
        <v>44</v>
      </c>
    </row>
    <row r="16">
      <c r="A16" s="26"/>
      <c r="B16" s="26"/>
      <c r="C16" s="26"/>
      <c r="D16" s="26"/>
      <c r="E16" s="26"/>
      <c r="F16" s="26"/>
      <c r="G16" s="27"/>
    </row>
    <row r="17">
      <c r="A17" s="26"/>
      <c r="B17" s="26"/>
      <c r="C17" s="26"/>
      <c r="D17" s="26"/>
      <c r="E17" s="26"/>
      <c r="F17" s="26"/>
      <c r="G17" s="26"/>
    </row>
    <row r="18">
      <c r="A18" s="28"/>
      <c r="B18" s="28"/>
      <c r="C18" s="28"/>
      <c r="D18" s="28"/>
      <c r="E18" s="28"/>
      <c r="F18" s="28"/>
      <c r="G18" s="28"/>
    </row>
    <row r="19">
      <c r="A19" s="28"/>
      <c r="B19" s="28"/>
      <c r="C19" s="28"/>
      <c r="D19" s="28"/>
      <c r="E19" s="28"/>
      <c r="F19" s="28"/>
      <c r="G19" s="28"/>
    </row>
    <row r="20">
      <c r="A20" s="28"/>
      <c r="B20" s="28"/>
      <c r="C20" s="28"/>
      <c r="D20" s="28"/>
      <c r="E20" s="28"/>
      <c r="F20" s="28"/>
      <c r="G20" s="28"/>
    </row>
  </sheetData>
  <mergeCells count="4">
    <mergeCell ref="D3:D7"/>
    <mergeCell ref="B8:B15"/>
    <mergeCell ref="D8:D15"/>
    <mergeCell ref="F8:F15"/>
  </mergeCells>
  <hyperlinks>
    <hyperlink display="Bent-Over Barbell Rows" location="'Bent-Over Barbell Rows'!A1" ref="A3"/>
    <hyperlink display="Push-Ups" location="'Push-Ups'!A2" ref="B3"/>
    <hyperlink display="Squats" location="Squats!A1" ref="C3"/>
    <hyperlink display="Deadlift" location="Deadlift!A2" ref="E3"/>
    <hyperlink display="Bench Press" location="'Bench Press'!A2" ref="F3"/>
    <hyperlink display="Glute Press" location="'Glute Press'!A2" ref="G3"/>
    <hyperlink display="Overhead Cable Rows" location="'Overhead Cable Rows'!A2" ref="A4"/>
    <hyperlink display="Standing Barbell OHP" location="'Standing Barbell OHP'!A2" ref="B4"/>
    <hyperlink display="Inclined Dumbell Press" location="'Inclined Dumbell Press'!A2" ref="F4"/>
    <hyperlink display="Table Top Rows (1 armed)" location="'Table Top Rows (1 armed)'!A2" ref="A5"/>
    <hyperlink display="Bent Over Lateral Raises" location="'Bent Over Lateral Raises'!A2" ref="B5"/>
    <hyperlink display="Skull Crushers EZ Bar" location="'Skull Crushers EZ Bar'!A2" ref="C5"/>
    <hyperlink display="Cable Face Pulls" location="'Cable Face Pulls'!A2" ref="E5"/>
    <hyperlink display="Flat Dumbell Flys" location="'Flat Dumbell Flys'!A2" ref="F5"/>
    <hyperlink display="Goblet Squat" location="'Goblet Squat'!A2" ref="G5"/>
    <hyperlink display="Single Arm Cable Curls" location="'Single Arm Cable Curls'!A2" ref="A6"/>
    <hyperlink display="Tricep Overhead Cable" location="'Tricep Overhead Cable'!A2" ref="C6"/>
    <hyperlink display="Barbell Shrugs" location="'Barbell Shrugs'!A2" ref="E6"/>
    <hyperlink display="Up-Right Lateral Raises" location="'Up-Right Lateral Raises'!A2" ref="F6"/>
    <hyperlink display="Double Arm Cable Curls" location="'Double Arm Cable Curls'!A2" ref="A7"/>
    <hyperlink display="Push-Ups" location="'Push-Ups'!A2" ref="B7"/>
    <hyperlink display="Tricep Cable Pushdowns" location="'Tricep Cable Pushdowns'!A2" ref="C7"/>
    <hyperlink display="EZ-Bar Curls" location="'EZ-Bar Curls'!A2" ref="E7"/>
    <hyperlink display="Tricep Kickback" location="'Tricep Kickback'!A2" ref="G7"/>
    <hyperlink display="Abs" location="Abs!A1" ref="A8"/>
    <hyperlink display="Abs" location="Abs!A1" ref="C8"/>
    <hyperlink display="Abs" location="Abs!A1" ref="E8"/>
    <hyperlink display="Abs" location="Abs!A1" ref="G8"/>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16</v>
      </c>
      <c r="B2" s="33" t="s">
        <v>53</v>
      </c>
      <c r="C2" s="34">
        <v>46025.0</v>
      </c>
      <c r="D2" s="35">
        <v>2.0</v>
      </c>
      <c r="E2" s="36">
        <v>65.0</v>
      </c>
      <c r="F2" s="37">
        <v>3.0</v>
      </c>
      <c r="G2" s="37">
        <v>10.0</v>
      </c>
      <c r="H2" s="38">
        <f t="shared" ref="H2:H17" si="1">E2*F2*G2</f>
        <v>1950</v>
      </c>
    </row>
    <row r="3">
      <c r="A3" s="32" t="s">
        <v>16</v>
      </c>
      <c r="B3" s="33"/>
      <c r="C3" s="34">
        <v>46032.0</v>
      </c>
      <c r="D3" s="35">
        <v>2.0</v>
      </c>
      <c r="E3" s="36">
        <v>65.0</v>
      </c>
      <c r="F3" s="37">
        <v>3.0</v>
      </c>
      <c r="G3" s="37">
        <v>12.0</v>
      </c>
      <c r="H3" s="38">
        <f t="shared" si="1"/>
        <v>2340</v>
      </c>
    </row>
    <row r="4">
      <c r="A4" s="32" t="s">
        <v>16</v>
      </c>
      <c r="B4" s="33"/>
      <c r="C4" s="34">
        <v>46039.0</v>
      </c>
      <c r="D4" s="35">
        <v>2.0</v>
      </c>
      <c r="E4" s="36">
        <v>65.0</v>
      </c>
      <c r="F4" s="37">
        <v>3.0</v>
      </c>
      <c r="G4" s="37">
        <v>15.0</v>
      </c>
      <c r="H4" s="38">
        <f t="shared" si="1"/>
        <v>2925</v>
      </c>
    </row>
    <row r="5">
      <c r="A5" s="32" t="s">
        <v>16</v>
      </c>
      <c r="B5" s="33"/>
      <c r="C5" s="34">
        <v>46046.0</v>
      </c>
      <c r="D5" s="35">
        <v>2.0</v>
      </c>
      <c r="E5" s="36">
        <v>75.0</v>
      </c>
      <c r="F5" s="37">
        <v>3.0</v>
      </c>
      <c r="G5" s="37">
        <v>10.0</v>
      </c>
      <c r="H5" s="38">
        <f t="shared" si="1"/>
        <v>2250</v>
      </c>
    </row>
    <row r="6">
      <c r="A6" s="32" t="s">
        <v>16</v>
      </c>
      <c r="B6" s="33"/>
      <c r="C6" s="34">
        <v>46053.0</v>
      </c>
      <c r="D6" s="35">
        <v>2.0</v>
      </c>
      <c r="E6" s="36">
        <v>75.0</v>
      </c>
      <c r="F6" s="37">
        <v>3.0</v>
      </c>
      <c r="G6" s="37">
        <v>12.0</v>
      </c>
      <c r="H6" s="38">
        <f t="shared" si="1"/>
        <v>2700</v>
      </c>
    </row>
    <row r="7">
      <c r="A7" s="32" t="s">
        <v>16</v>
      </c>
      <c r="B7" s="33"/>
      <c r="C7" s="34">
        <v>46060.0</v>
      </c>
      <c r="D7" s="35">
        <v>2.0</v>
      </c>
      <c r="E7" s="36">
        <v>75.0</v>
      </c>
      <c r="F7" s="37">
        <v>3.0</v>
      </c>
      <c r="G7" s="37">
        <v>15.0</v>
      </c>
      <c r="H7" s="38">
        <f t="shared" si="1"/>
        <v>3375</v>
      </c>
      <c r="J7" s="39" t="s">
        <v>54</v>
      </c>
      <c r="K7" s="40"/>
      <c r="L7" s="40"/>
      <c r="M7" s="40"/>
      <c r="N7" s="40"/>
      <c r="O7" s="40"/>
      <c r="P7" s="41"/>
    </row>
    <row r="8">
      <c r="A8" s="32" t="s">
        <v>16</v>
      </c>
      <c r="B8" s="33"/>
      <c r="C8" s="34">
        <v>46067.0</v>
      </c>
      <c r="D8" s="35">
        <v>2.0</v>
      </c>
      <c r="E8" s="36">
        <v>85.0</v>
      </c>
      <c r="F8" s="37">
        <v>3.0</v>
      </c>
      <c r="G8" s="37">
        <v>10.0</v>
      </c>
      <c r="H8" s="38">
        <f t="shared" si="1"/>
        <v>2550</v>
      </c>
    </row>
    <row r="9">
      <c r="A9" s="32" t="s">
        <v>16</v>
      </c>
      <c r="B9" s="33"/>
      <c r="C9" s="34">
        <v>46074.0</v>
      </c>
      <c r="D9" s="35">
        <v>2.0</v>
      </c>
      <c r="E9" s="36">
        <v>85.0</v>
      </c>
      <c r="F9" s="37">
        <v>3.0</v>
      </c>
      <c r="G9" s="37">
        <v>12.0</v>
      </c>
      <c r="H9" s="38">
        <f t="shared" si="1"/>
        <v>3060</v>
      </c>
    </row>
    <row r="10">
      <c r="A10" s="32" t="s">
        <v>16</v>
      </c>
      <c r="B10" s="33"/>
      <c r="C10" s="34">
        <v>46081.0</v>
      </c>
      <c r="D10" s="35">
        <v>2.0</v>
      </c>
      <c r="E10" s="36">
        <v>85.0</v>
      </c>
      <c r="F10" s="37">
        <v>3.0</v>
      </c>
      <c r="G10" s="37">
        <v>15.0</v>
      </c>
      <c r="H10" s="38">
        <f t="shared" si="1"/>
        <v>3825</v>
      </c>
    </row>
    <row r="11">
      <c r="A11" s="32" t="s">
        <v>16</v>
      </c>
      <c r="B11" s="33"/>
      <c r="C11" s="34">
        <v>46088.0</v>
      </c>
      <c r="D11" s="35">
        <v>2.0</v>
      </c>
      <c r="E11" s="36">
        <v>95.0</v>
      </c>
      <c r="F11" s="37">
        <v>3.0</v>
      </c>
      <c r="G11" s="37">
        <v>10.0</v>
      </c>
      <c r="H11" s="38">
        <f t="shared" si="1"/>
        <v>2850</v>
      </c>
    </row>
    <row r="12">
      <c r="A12" s="32" t="s">
        <v>16</v>
      </c>
      <c r="B12" s="33"/>
      <c r="C12" s="34">
        <v>46095.0</v>
      </c>
      <c r="D12" s="35">
        <v>2.0</v>
      </c>
      <c r="E12" s="36">
        <v>95.0</v>
      </c>
      <c r="F12" s="37">
        <v>3.0</v>
      </c>
      <c r="G12" s="37">
        <v>12.0</v>
      </c>
      <c r="H12" s="38">
        <f t="shared" si="1"/>
        <v>3420</v>
      </c>
    </row>
    <row r="13">
      <c r="A13" s="32" t="s">
        <v>16</v>
      </c>
      <c r="B13" s="33"/>
      <c r="C13" s="34">
        <v>46102.0</v>
      </c>
      <c r="D13" s="35">
        <v>2.0</v>
      </c>
      <c r="E13" s="36">
        <v>95.0</v>
      </c>
      <c r="F13" s="37">
        <v>3.0</v>
      </c>
      <c r="G13" s="37">
        <v>15.0</v>
      </c>
      <c r="H13" s="38">
        <f t="shared" si="1"/>
        <v>4275</v>
      </c>
    </row>
    <row r="14">
      <c r="A14" s="32" t="s">
        <v>16</v>
      </c>
      <c r="B14" s="33"/>
      <c r="C14" s="34">
        <v>46109.0</v>
      </c>
      <c r="D14" s="35">
        <v>2.0</v>
      </c>
      <c r="E14" s="36">
        <v>105.0</v>
      </c>
      <c r="F14" s="37">
        <v>3.0</v>
      </c>
      <c r="G14" s="37">
        <v>10.0</v>
      </c>
      <c r="H14" s="38">
        <f t="shared" si="1"/>
        <v>3150</v>
      </c>
    </row>
    <row r="15">
      <c r="A15" s="32" t="s">
        <v>16</v>
      </c>
      <c r="B15" s="33"/>
      <c r="C15" s="34">
        <v>46116.0</v>
      </c>
      <c r="D15" s="35">
        <v>2.0</v>
      </c>
      <c r="E15" s="36">
        <v>105.0</v>
      </c>
      <c r="F15" s="37">
        <v>3.0</v>
      </c>
      <c r="G15" s="37">
        <v>12.0</v>
      </c>
      <c r="H15" s="38">
        <f t="shared" si="1"/>
        <v>3780</v>
      </c>
    </row>
    <row r="16">
      <c r="A16" s="32" t="s">
        <v>16</v>
      </c>
      <c r="B16" s="33"/>
      <c r="C16" s="34">
        <v>46123.0</v>
      </c>
      <c r="D16" s="35">
        <v>2.0</v>
      </c>
      <c r="E16" s="36">
        <v>105.0</v>
      </c>
      <c r="F16" s="37">
        <v>3.0</v>
      </c>
      <c r="G16" s="37">
        <v>15.0</v>
      </c>
      <c r="H16" s="38">
        <f t="shared" si="1"/>
        <v>4725</v>
      </c>
    </row>
    <row r="17">
      <c r="A17" s="32" t="s">
        <v>16</v>
      </c>
      <c r="B17" s="33"/>
      <c r="C17" s="34">
        <v>46130.0</v>
      </c>
      <c r="D17" s="35">
        <v>2.0</v>
      </c>
      <c r="E17" s="36">
        <v>115.0</v>
      </c>
      <c r="F17" s="37">
        <v>3.0</v>
      </c>
      <c r="G17" s="37">
        <v>10.0</v>
      </c>
      <c r="H17" s="38">
        <f t="shared" si="1"/>
        <v>3450</v>
      </c>
    </row>
  </sheetData>
  <mergeCells count="1">
    <mergeCell ref="J7:P7"/>
  </mergeCells>
  <hyperlinks>
    <hyperlink display="Week at a Glance" location="'Week At a Glance'!A2" ref="J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27</v>
      </c>
      <c r="B2" s="33"/>
      <c r="C2" s="34">
        <v>46027.0</v>
      </c>
      <c r="D2" s="35">
        <v>2.0</v>
      </c>
      <c r="E2" s="36">
        <v>1.0</v>
      </c>
      <c r="F2" s="37">
        <v>1.0</v>
      </c>
      <c r="G2" s="37">
        <v>1.0</v>
      </c>
      <c r="H2" s="42">
        <v>1.0</v>
      </c>
    </row>
    <row r="3">
      <c r="A3" s="32" t="s">
        <v>27</v>
      </c>
      <c r="B3" s="33"/>
      <c r="C3" s="34">
        <v>46034.0</v>
      </c>
      <c r="D3" s="35">
        <v>2.0</v>
      </c>
      <c r="E3" s="36">
        <v>1.0</v>
      </c>
      <c r="F3" s="37">
        <v>1.0</v>
      </c>
      <c r="G3" s="37">
        <v>1.0</v>
      </c>
      <c r="H3" s="42">
        <v>1.0</v>
      </c>
    </row>
    <row r="4">
      <c r="A4" s="32" t="s">
        <v>27</v>
      </c>
      <c r="B4" s="33"/>
      <c r="C4" s="34">
        <v>46041.0</v>
      </c>
      <c r="D4" s="35">
        <v>2.0</v>
      </c>
      <c r="E4" s="36">
        <v>1.0</v>
      </c>
      <c r="F4" s="37">
        <v>1.0</v>
      </c>
      <c r="G4" s="37">
        <v>1.0</v>
      </c>
      <c r="H4" s="42">
        <v>1.0</v>
      </c>
    </row>
    <row r="5">
      <c r="A5" s="32" t="s">
        <v>27</v>
      </c>
      <c r="B5" s="33"/>
      <c r="C5" s="34">
        <v>46048.0</v>
      </c>
      <c r="D5" s="35">
        <v>2.0</v>
      </c>
      <c r="E5" s="36">
        <v>1.0</v>
      </c>
      <c r="F5" s="37">
        <v>1.0</v>
      </c>
      <c r="G5" s="37">
        <v>1.0</v>
      </c>
      <c r="H5" s="42">
        <v>1.0</v>
      </c>
    </row>
    <row r="6">
      <c r="A6" s="32" t="s">
        <v>27</v>
      </c>
      <c r="B6" s="33"/>
      <c r="C6" s="34">
        <v>46055.0</v>
      </c>
      <c r="D6" s="35">
        <v>2.0</v>
      </c>
      <c r="E6" s="36">
        <v>1.0</v>
      </c>
      <c r="F6" s="37">
        <v>1.0</v>
      </c>
      <c r="G6" s="37">
        <v>1.0</v>
      </c>
      <c r="H6" s="42">
        <v>1.0</v>
      </c>
    </row>
    <row r="7">
      <c r="A7" s="32" t="s">
        <v>27</v>
      </c>
      <c r="B7" s="33"/>
      <c r="C7" s="34">
        <v>46062.0</v>
      </c>
      <c r="D7" s="35">
        <v>2.0</v>
      </c>
      <c r="E7" s="36">
        <v>1.0</v>
      </c>
      <c r="F7" s="37">
        <v>1.0</v>
      </c>
      <c r="G7" s="37">
        <v>1.0</v>
      </c>
      <c r="H7" s="42">
        <v>1.0</v>
      </c>
      <c r="J7" s="39" t="s">
        <v>54</v>
      </c>
      <c r="K7" s="40"/>
      <c r="L7" s="40"/>
      <c r="M7" s="40"/>
      <c r="N7" s="40"/>
      <c r="O7" s="40"/>
      <c r="P7" s="41"/>
    </row>
    <row r="8">
      <c r="A8" s="32" t="s">
        <v>27</v>
      </c>
      <c r="B8" s="33"/>
      <c r="C8" s="34">
        <v>46069.0</v>
      </c>
      <c r="D8" s="35">
        <v>2.0</v>
      </c>
      <c r="E8" s="36">
        <v>1.0</v>
      </c>
      <c r="F8" s="37">
        <v>1.0</v>
      </c>
      <c r="G8" s="37">
        <v>1.0</v>
      </c>
      <c r="H8" s="42">
        <v>1.0</v>
      </c>
    </row>
    <row r="9">
      <c r="A9" s="32" t="s">
        <v>27</v>
      </c>
      <c r="B9" s="33"/>
      <c r="C9" s="34">
        <v>46076.0</v>
      </c>
      <c r="D9" s="35">
        <v>2.0</v>
      </c>
      <c r="E9" s="36">
        <v>1.0</v>
      </c>
      <c r="F9" s="37">
        <v>1.0</v>
      </c>
      <c r="G9" s="37">
        <v>1.0</v>
      </c>
      <c r="H9" s="42">
        <v>1.0</v>
      </c>
    </row>
    <row r="10">
      <c r="A10" s="32" t="s">
        <v>27</v>
      </c>
      <c r="B10" s="33"/>
      <c r="C10" s="34">
        <v>46083.0</v>
      </c>
      <c r="D10" s="35">
        <v>2.0</v>
      </c>
      <c r="E10" s="36">
        <v>1.0</v>
      </c>
      <c r="F10" s="37">
        <v>1.0</v>
      </c>
      <c r="G10" s="37">
        <v>1.0</v>
      </c>
      <c r="H10" s="42">
        <v>1.0</v>
      </c>
    </row>
    <row r="11">
      <c r="A11" s="32" t="s">
        <v>27</v>
      </c>
      <c r="B11" s="33"/>
      <c r="C11" s="34">
        <v>46090.0</v>
      </c>
      <c r="D11" s="35">
        <v>2.0</v>
      </c>
      <c r="E11" s="36">
        <v>1.0</v>
      </c>
      <c r="F11" s="37">
        <v>1.0</v>
      </c>
      <c r="G11" s="37">
        <v>1.0</v>
      </c>
      <c r="H11" s="42">
        <v>1.0</v>
      </c>
    </row>
    <row r="12">
      <c r="A12" s="32" t="s">
        <v>27</v>
      </c>
      <c r="B12" s="33"/>
      <c r="C12" s="34">
        <v>46097.0</v>
      </c>
      <c r="D12" s="35">
        <v>2.0</v>
      </c>
      <c r="E12" s="36">
        <v>1.0</v>
      </c>
      <c r="F12" s="37">
        <v>1.0</v>
      </c>
      <c r="G12" s="37">
        <v>1.0</v>
      </c>
      <c r="H12" s="42">
        <v>1.0</v>
      </c>
    </row>
    <row r="13">
      <c r="A13" s="32" t="s">
        <v>27</v>
      </c>
      <c r="B13" s="33"/>
      <c r="C13" s="34">
        <v>46104.0</v>
      </c>
      <c r="D13" s="35">
        <v>2.0</v>
      </c>
      <c r="E13" s="36">
        <v>1.0</v>
      </c>
      <c r="F13" s="37">
        <v>1.0</v>
      </c>
      <c r="G13" s="37">
        <v>1.0</v>
      </c>
      <c r="H13" s="42">
        <v>1.0</v>
      </c>
    </row>
    <row r="14">
      <c r="A14" s="32" t="s">
        <v>27</v>
      </c>
      <c r="B14" s="33"/>
      <c r="C14" s="34">
        <v>46111.0</v>
      </c>
      <c r="D14" s="35">
        <v>2.0</v>
      </c>
      <c r="E14" s="36">
        <v>1.0</v>
      </c>
      <c r="F14" s="37">
        <v>1.0</v>
      </c>
      <c r="G14" s="37">
        <v>1.0</v>
      </c>
      <c r="H14" s="42">
        <v>1.0</v>
      </c>
    </row>
    <row r="15">
      <c r="A15" s="32" t="s">
        <v>27</v>
      </c>
      <c r="B15" s="33"/>
      <c r="C15" s="34">
        <v>46118.0</v>
      </c>
      <c r="D15" s="35">
        <v>2.0</v>
      </c>
      <c r="E15" s="36">
        <v>1.0</v>
      </c>
      <c r="F15" s="37">
        <v>1.0</v>
      </c>
      <c r="G15" s="37">
        <v>1.0</v>
      </c>
      <c r="H15" s="42">
        <v>1.0</v>
      </c>
    </row>
    <row r="16">
      <c r="A16" s="32" t="s">
        <v>27</v>
      </c>
      <c r="B16" s="33"/>
      <c r="C16" s="34">
        <v>46125.0</v>
      </c>
      <c r="D16" s="35">
        <v>2.0</v>
      </c>
      <c r="E16" s="36">
        <v>1.0</v>
      </c>
      <c r="F16" s="37">
        <v>1.0</v>
      </c>
      <c r="G16" s="37">
        <v>1.0</v>
      </c>
      <c r="H16" s="42">
        <v>1.0</v>
      </c>
    </row>
    <row r="17">
      <c r="A17" s="32" t="s">
        <v>27</v>
      </c>
      <c r="B17" s="33"/>
      <c r="C17" s="34">
        <v>46132.0</v>
      </c>
      <c r="D17" s="35">
        <v>2.0</v>
      </c>
      <c r="E17" s="36">
        <v>1.0</v>
      </c>
      <c r="F17" s="37">
        <v>1.0</v>
      </c>
      <c r="G17" s="37">
        <v>1.0</v>
      </c>
      <c r="H17" s="42">
        <v>1.0</v>
      </c>
    </row>
  </sheetData>
  <mergeCells count="1">
    <mergeCell ref="J7:P7"/>
  </mergeCells>
  <hyperlinks>
    <hyperlink display="Week at a Glance" location="'Week At a Glance'!A2" ref="J7"/>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 customWidth="1" min="5" max="5" width="14.13"/>
  </cols>
  <sheetData>
    <row r="1">
      <c r="A1" s="29" t="s">
        <v>45</v>
      </c>
      <c r="B1" s="30" t="s">
        <v>46</v>
      </c>
      <c r="C1" s="30" t="s">
        <v>47</v>
      </c>
      <c r="D1" s="30" t="s">
        <v>48</v>
      </c>
      <c r="E1" s="30" t="s">
        <v>49</v>
      </c>
      <c r="F1" s="30" t="s">
        <v>50</v>
      </c>
      <c r="G1" s="30" t="s">
        <v>51</v>
      </c>
      <c r="H1" s="31" t="s">
        <v>55</v>
      </c>
    </row>
    <row r="2">
      <c r="A2" s="32" t="s">
        <v>12</v>
      </c>
      <c r="B2" s="33" t="s">
        <v>56</v>
      </c>
      <c r="C2" s="34">
        <v>46027.0</v>
      </c>
      <c r="D2" s="35">
        <v>2.0</v>
      </c>
      <c r="E2" s="36">
        <v>1.0</v>
      </c>
      <c r="F2" s="37">
        <v>4.0</v>
      </c>
      <c r="G2" s="37">
        <v>20.0</v>
      </c>
      <c r="H2" s="38">
        <f t="shared" ref="H2:H17" si="1">F2*G2</f>
        <v>80</v>
      </c>
    </row>
    <row r="3">
      <c r="A3" s="32" t="s">
        <v>12</v>
      </c>
      <c r="B3" s="33"/>
      <c r="C3" s="34">
        <v>46034.0</v>
      </c>
      <c r="D3" s="35">
        <v>2.0</v>
      </c>
      <c r="E3" s="36">
        <v>1.0</v>
      </c>
      <c r="F3" s="37">
        <v>4.0</v>
      </c>
      <c r="G3" s="37">
        <v>20.0</v>
      </c>
      <c r="H3" s="38">
        <f t="shared" si="1"/>
        <v>80</v>
      </c>
    </row>
    <row r="4">
      <c r="A4" s="32" t="s">
        <v>12</v>
      </c>
      <c r="B4" s="33"/>
      <c r="C4" s="34">
        <v>46041.0</v>
      </c>
      <c r="D4" s="35">
        <v>2.0</v>
      </c>
      <c r="E4" s="36">
        <v>1.0</v>
      </c>
      <c r="F4" s="37">
        <v>4.0</v>
      </c>
      <c r="G4" s="37">
        <v>20.0</v>
      </c>
      <c r="H4" s="38">
        <f t="shared" si="1"/>
        <v>80</v>
      </c>
    </row>
    <row r="5">
      <c r="A5" s="32" t="s">
        <v>12</v>
      </c>
      <c r="B5" s="33"/>
      <c r="C5" s="34">
        <v>46048.0</v>
      </c>
      <c r="D5" s="35">
        <v>2.0</v>
      </c>
      <c r="E5" s="36">
        <v>1.0</v>
      </c>
      <c r="F5" s="37">
        <v>4.0</v>
      </c>
      <c r="G5" s="37">
        <v>20.0</v>
      </c>
      <c r="H5" s="38">
        <f t="shared" si="1"/>
        <v>80</v>
      </c>
    </row>
    <row r="6">
      <c r="A6" s="32" t="s">
        <v>12</v>
      </c>
      <c r="B6" s="33"/>
      <c r="C6" s="34">
        <v>46055.0</v>
      </c>
      <c r="D6" s="35">
        <v>2.0</v>
      </c>
      <c r="E6" s="36">
        <v>1.0</v>
      </c>
      <c r="F6" s="37">
        <v>4.0</v>
      </c>
      <c r="G6" s="37">
        <v>20.0</v>
      </c>
      <c r="H6" s="38">
        <f t="shared" si="1"/>
        <v>80</v>
      </c>
    </row>
    <row r="7">
      <c r="A7" s="32" t="s">
        <v>12</v>
      </c>
      <c r="B7" s="33"/>
      <c r="C7" s="34">
        <v>46062.0</v>
      </c>
      <c r="D7" s="35">
        <v>2.0</v>
      </c>
      <c r="E7" s="36">
        <v>1.0</v>
      </c>
      <c r="F7" s="37">
        <v>4.0</v>
      </c>
      <c r="G7" s="37">
        <v>20.0</v>
      </c>
      <c r="H7" s="38">
        <f t="shared" si="1"/>
        <v>80</v>
      </c>
      <c r="J7" s="39" t="s">
        <v>54</v>
      </c>
      <c r="K7" s="40"/>
      <c r="L7" s="40"/>
      <c r="M7" s="40"/>
      <c r="N7" s="40"/>
      <c r="O7" s="40"/>
      <c r="P7" s="41"/>
    </row>
    <row r="8">
      <c r="A8" s="32" t="s">
        <v>12</v>
      </c>
      <c r="B8" s="33"/>
      <c r="C8" s="34">
        <v>46069.0</v>
      </c>
      <c r="D8" s="35">
        <v>2.0</v>
      </c>
      <c r="E8" s="36">
        <v>1.0</v>
      </c>
      <c r="F8" s="37">
        <v>4.0</v>
      </c>
      <c r="G8" s="37">
        <v>20.0</v>
      </c>
      <c r="H8" s="38">
        <f t="shared" si="1"/>
        <v>80</v>
      </c>
    </row>
    <row r="9">
      <c r="A9" s="32" t="s">
        <v>12</v>
      </c>
      <c r="B9" s="33"/>
      <c r="C9" s="34">
        <v>46076.0</v>
      </c>
      <c r="D9" s="35">
        <v>2.0</v>
      </c>
      <c r="E9" s="36">
        <v>1.0</v>
      </c>
      <c r="F9" s="37">
        <v>4.0</v>
      </c>
      <c r="G9" s="37">
        <v>20.0</v>
      </c>
      <c r="H9" s="38">
        <f t="shared" si="1"/>
        <v>80</v>
      </c>
    </row>
    <row r="10">
      <c r="A10" s="32" t="s">
        <v>12</v>
      </c>
      <c r="B10" s="33"/>
      <c r="C10" s="34">
        <v>46083.0</v>
      </c>
      <c r="D10" s="35">
        <v>2.0</v>
      </c>
      <c r="E10" s="36">
        <v>1.0</v>
      </c>
      <c r="F10" s="37">
        <v>4.0</v>
      </c>
      <c r="G10" s="37">
        <v>20.0</v>
      </c>
      <c r="H10" s="38">
        <f t="shared" si="1"/>
        <v>80</v>
      </c>
    </row>
    <row r="11">
      <c r="A11" s="32" t="s">
        <v>12</v>
      </c>
      <c r="B11" s="33"/>
      <c r="C11" s="34">
        <v>46090.0</v>
      </c>
      <c r="D11" s="35">
        <v>2.0</v>
      </c>
      <c r="E11" s="36">
        <v>1.0</v>
      </c>
      <c r="F11" s="37">
        <v>4.0</v>
      </c>
      <c r="G11" s="37">
        <v>20.0</v>
      </c>
      <c r="H11" s="38">
        <f t="shared" si="1"/>
        <v>80</v>
      </c>
    </row>
    <row r="12">
      <c r="A12" s="32" t="s">
        <v>12</v>
      </c>
      <c r="B12" s="33"/>
      <c r="C12" s="34">
        <v>46097.0</v>
      </c>
      <c r="D12" s="35">
        <v>2.0</v>
      </c>
      <c r="E12" s="36">
        <v>1.0</v>
      </c>
      <c r="F12" s="37">
        <v>4.0</v>
      </c>
      <c r="G12" s="37">
        <v>20.0</v>
      </c>
      <c r="H12" s="38">
        <f t="shared" si="1"/>
        <v>80</v>
      </c>
    </row>
    <row r="13">
      <c r="A13" s="32" t="s">
        <v>12</v>
      </c>
      <c r="B13" s="33"/>
      <c r="C13" s="34">
        <v>46104.0</v>
      </c>
      <c r="D13" s="35">
        <v>2.0</v>
      </c>
      <c r="E13" s="36">
        <v>1.0</v>
      </c>
      <c r="F13" s="37">
        <v>4.0</v>
      </c>
      <c r="G13" s="37">
        <v>20.0</v>
      </c>
      <c r="H13" s="38">
        <f t="shared" si="1"/>
        <v>80</v>
      </c>
    </row>
    <row r="14">
      <c r="A14" s="32" t="s">
        <v>12</v>
      </c>
      <c r="B14" s="33"/>
      <c r="C14" s="34">
        <v>46111.0</v>
      </c>
      <c r="D14" s="35">
        <v>2.0</v>
      </c>
      <c r="E14" s="36">
        <v>1.0</v>
      </c>
      <c r="F14" s="37">
        <v>4.0</v>
      </c>
      <c r="G14" s="37">
        <v>20.0</v>
      </c>
      <c r="H14" s="38">
        <f t="shared" si="1"/>
        <v>80</v>
      </c>
    </row>
    <row r="15">
      <c r="A15" s="32" t="s">
        <v>12</v>
      </c>
      <c r="B15" s="33"/>
      <c r="C15" s="34">
        <v>46118.0</v>
      </c>
      <c r="D15" s="35">
        <v>2.0</v>
      </c>
      <c r="E15" s="36">
        <v>1.0</v>
      </c>
      <c r="F15" s="37">
        <v>4.0</v>
      </c>
      <c r="G15" s="37">
        <v>20.0</v>
      </c>
      <c r="H15" s="38">
        <f t="shared" si="1"/>
        <v>80</v>
      </c>
    </row>
    <row r="16">
      <c r="A16" s="32" t="s">
        <v>12</v>
      </c>
      <c r="B16" s="33"/>
      <c r="C16" s="34">
        <v>46125.0</v>
      </c>
      <c r="D16" s="35">
        <v>2.0</v>
      </c>
      <c r="E16" s="36">
        <v>1.0</v>
      </c>
      <c r="F16" s="37">
        <v>4.0</v>
      </c>
      <c r="G16" s="37">
        <v>20.0</v>
      </c>
      <c r="H16" s="38">
        <f t="shared" si="1"/>
        <v>80</v>
      </c>
    </row>
    <row r="17">
      <c r="A17" s="32" t="s">
        <v>12</v>
      </c>
      <c r="B17" s="33"/>
      <c r="C17" s="34">
        <v>46132.0</v>
      </c>
      <c r="D17" s="35">
        <v>2.0</v>
      </c>
      <c r="E17" s="36">
        <v>1.0</v>
      </c>
      <c r="F17" s="37">
        <v>4.0</v>
      </c>
      <c r="G17" s="37">
        <v>20.0</v>
      </c>
      <c r="H17" s="38">
        <f t="shared" si="1"/>
        <v>80</v>
      </c>
    </row>
  </sheetData>
  <mergeCells count="1">
    <mergeCell ref="J7:P7"/>
  </mergeCells>
  <hyperlinks>
    <hyperlink display="Week at a Glance" location="'Week At a Glance'!A2" ref="J7"/>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14</v>
      </c>
      <c r="B2" s="33"/>
      <c r="C2" s="34">
        <v>46030.0</v>
      </c>
      <c r="D2" s="35">
        <v>2.0</v>
      </c>
      <c r="E2" s="36">
        <v>115.0</v>
      </c>
      <c r="F2" s="37">
        <v>3.0</v>
      </c>
      <c r="G2" s="37">
        <v>8.0</v>
      </c>
      <c r="H2" s="38">
        <f t="shared" ref="H2:H17" si="1">E2*F2*G2</f>
        <v>2760</v>
      </c>
    </row>
    <row r="3">
      <c r="A3" s="32" t="s">
        <v>14</v>
      </c>
      <c r="B3" s="33"/>
      <c r="C3" s="34">
        <v>46037.0</v>
      </c>
      <c r="D3" s="35">
        <v>2.0</v>
      </c>
      <c r="E3" s="36">
        <v>115.0</v>
      </c>
      <c r="F3" s="37">
        <v>3.0</v>
      </c>
      <c r="G3" s="37">
        <v>10.0</v>
      </c>
      <c r="H3" s="38">
        <f t="shared" si="1"/>
        <v>3450</v>
      </c>
    </row>
    <row r="4">
      <c r="A4" s="32" t="s">
        <v>14</v>
      </c>
      <c r="B4" s="33"/>
      <c r="C4" s="34">
        <v>46044.0</v>
      </c>
      <c r="D4" s="35">
        <v>2.0</v>
      </c>
      <c r="E4" s="36">
        <v>115.0</v>
      </c>
      <c r="F4" s="37">
        <v>3.0</v>
      </c>
      <c r="G4" s="37">
        <v>12.0</v>
      </c>
      <c r="H4" s="38">
        <f t="shared" si="1"/>
        <v>4140</v>
      </c>
    </row>
    <row r="5">
      <c r="A5" s="32" t="s">
        <v>14</v>
      </c>
      <c r="B5" s="33"/>
      <c r="C5" s="34">
        <v>46051.0</v>
      </c>
      <c r="D5" s="35">
        <v>2.0</v>
      </c>
      <c r="E5" s="36">
        <v>125.0</v>
      </c>
      <c r="F5" s="37">
        <v>3.0</v>
      </c>
      <c r="G5" s="37">
        <v>8.0</v>
      </c>
      <c r="H5" s="38">
        <f t="shared" si="1"/>
        <v>3000</v>
      </c>
    </row>
    <row r="6">
      <c r="A6" s="32" t="s">
        <v>14</v>
      </c>
      <c r="B6" s="33"/>
      <c r="C6" s="34">
        <v>46058.0</v>
      </c>
      <c r="D6" s="35">
        <v>2.0</v>
      </c>
      <c r="E6" s="36">
        <v>125.0</v>
      </c>
      <c r="F6" s="37">
        <v>3.0</v>
      </c>
      <c r="G6" s="37">
        <v>10.0</v>
      </c>
      <c r="H6" s="38">
        <f t="shared" si="1"/>
        <v>3750</v>
      </c>
    </row>
    <row r="7">
      <c r="A7" s="32" t="s">
        <v>14</v>
      </c>
      <c r="B7" s="33"/>
      <c r="C7" s="34">
        <v>46065.0</v>
      </c>
      <c r="D7" s="35">
        <v>2.0</v>
      </c>
      <c r="E7" s="36">
        <v>125.0</v>
      </c>
      <c r="F7" s="37">
        <v>3.0</v>
      </c>
      <c r="G7" s="37">
        <v>12.0</v>
      </c>
      <c r="H7" s="38">
        <f t="shared" si="1"/>
        <v>4500</v>
      </c>
      <c r="J7" s="39" t="s">
        <v>54</v>
      </c>
      <c r="K7" s="40"/>
      <c r="L7" s="40"/>
      <c r="M7" s="40"/>
      <c r="N7" s="40"/>
      <c r="O7" s="40"/>
      <c r="P7" s="41"/>
    </row>
    <row r="8">
      <c r="A8" s="32" t="s">
        <v>14</v>
      </c>
      <c r="B8" s="33"/>
      <c r="C8" s="34">
        <v>46072.0</v>
      </c>
      <c r="D8" s="35">
        <v>2.0</v>
      </c>
      <c r="E8" s="36">
        <v>135.0</v>
      </c>
      <c r="F8" s="37">
        <v>3.0</v>
      </c>
      <c r="G8" s="37">
        <v>8.0</v>
      </c>
      <c r="H8" s="38">
        <f t="shared" si="1"/>
        <v>3240</v>
      </c>
    </row>
    <row r="9">
      <c r="A9" s="32" t="s">
        <v>14</v>
      </c>
      <c r="B9" s="33"/>
      <c r="C9" s="34">
        <v>46079.0</v>
      </c>
      <c r="D9" s="35">
        <v>2.0</v>
      </c>
      <c r="E9" s="36">
        <v>135.0</v>
      </c>
      <c r="F9" s="37">
        <v>3.0</v>
      </c>
      <c r="G9" s="37">
        <v>10.0</v>
      </c>
      <c r="H9" s="38">
        <f t="shared" si="1"/>
        <v>4050</v>
      </c>
    </row>
    <row r="10">
      <c r="A10" s="32" t="s">
        <v>14</v>
      </c>
      <c r="B10" s="33"/>
      <c r="C10" s="34">
        <v>46086.0</v>
      </c>
      <c r="D10" s="35">
        <v>2.0</v>
      </c>
      <c r="E10" s="36">
        <v>135.0</v>
      </c>
      <c r="F10" s="37">
        <v>3.0</v>
      </c>
      <c r="G10" s="37">
        <v>12.0</v>
      </c>
      <c r="H10" s="38">
        <f t="shared" si="1"/>
        <v>4860</v>
      </c>
    </row>
    <row r="11">
      <c r="A11" s="32" t="s">
        <v>14</v>
      </c>
      <c r="B11" s="33"/>
      <c r="C11" s="34">
        <v>46093.0</v>
      </c>
      <c r="D11" s="35">
        <v>2.0</v>
      </c>
      <c r="E11" s="36">
        <v>145.0</v>
      </c>
      <c r="F11" s="37">
        <v>3.0</v>
      </c>
      <c r="G11" s="37">
        <v>8.0</v>
      </c>
      <c r="H11" s="38">
        <f t="shared" si="1"/>
        <v>3480</v>
      </c>
    </row>
    <row r="12">
      <c r="A12" s="32" t="s">
        <v>14</v>
      </c>
      <c r="B12" s="33"/>
      <c r="C12" s="34">
        <v>46100.0</v>
      </c>
      <c r="D12" s="35">
        <v>2.0</v>
      </c>
      <c r="E12" s="36">
        <v>145.0</v>
      </c>
      <c r="F12" s="37">
        <v>3.0</v>
      </c>
      <c r="G12" s="37">
        <v>10.0</v>
      </c>
      <c r="H12" s="38">
        <f t="shared" si="1"/>
        <v>4350</v>
      </c>
    </row>
    <row r="13">
      <c r="A13" s="32" t="s">
        <v>14</v>
      </c>
      <c r="B13" s="33"/>
      <c r="C13" s="34">
        <v>46107.0</v>
      </c>
      <c r="D13" s="35">
        <v>2.0</v>
      </c>
      <c r="E13" s="36">
        <v>145.0</v>
      </c>
      <c r="F13" s="37">
        <v>3.0</v>
      </c>
      <c r="G13" s="37">
        <v>12.0</v>
      </c>
      <c r="H13" s="38">
        <f t="shared" si="1"/>
        <v>5220</v>
      </c>
    </row>
    <row r="14">
      <c r="A14" s="32" t="s">
        <v>14</v>
      </c>
      <c r="B14" s="33"/>
      <c r="C14" s="34">
        <v>46114.0</v>
      </c>
      <c r="D14" s="35">
        <v>2.0</v>
      </c>
      <c r="E14" s="36">
        <v>155.0</v>
      </c>
      <c r="F14" s="37">
        <v>3.0</v>
      </c>
      <c r="G14" s="37">
        <v>8.0</v>
      </c>
      <c r="H14" s="38">
        <f t="shared" si="1"/>
        <v>3720</v>
      </c>
    </row>
    <row r="15">
      <c r="A15" s="32" t="s">
        <v>14</v>
      </c>
      <c r="B15" s="33"/>
      <c r="C15" s="34">
        <v>46121.0</v>
      </c>
      <c r="D15" s="35">
        <v>2.0</v>
      </c>
      <c r="E15" s="36">
        <v>155.0</v>
      </c>
      <c r="F15" s="37">
        <v>3.0</v>
      </c>
      <c r="G15" s="37">
        <v>10.0</v>
      </c>
      <c r="H15" s="38">
        <f t="shared" si="1"/>
        <v>4650</v>
      </c>
    </row>
    <row r="16">
      <c r="A16" s="32" t="s">
        <v>14</v>
      </c>
      <c r="B16" s="33"/>
      <c r="C16" s="34">
        <v>46128.0</v>
      </c>
      <c r="D16" s="35">
        <v>2.0</v>
      </c>
      <c r="E16" s="36">
        <v>155.0</v>
      </c>
      <c r="F16" s="37">
        <v>3.0</v>
      </c>
      <c r="G16" s="37">
        <v>12.0</v>
      </c>
      <c r="H16" s="38">
        <f t="shared" si="1"/>
        <v>5580</v>
      </c>
    </row>
    <row r="17">
      <c r="A17" s="32" t="s">
        <v>14</v>
      </c>
      <c r="B17" s="33"/>
      <c r="C17" s="34">
        <v>46135.0</v>
      </c>
      <c r="D17" s="35">
        <v>2.0</v>
      </c>
      <c r="E17" s="36">
        <v>165.0</v>
      </c>
      <c r="F17" s="37">
        <v>3.0</v>
      </c>
      <c r="G17" s="37">
        <v>8.0</v>
      </c>
      <c r="H17" s="38">
        <f t="shared" si="1"/>
        <v>3960</v>
      </c>
    </row>
    <row r="22">
      <c r="I22" s="39" t="s">
        <v>54</v>
      </c>
      <c r="J22" s="40"/>
      <c r="K22" s="40"/>
      <c r="L22" s="40"/>
      <c r="M22" s="40"/>
      <c r="N22" s="40"/>
      <c r="O22" s="41"/>
    </row>
  </sheetData>
  <mergeCells count="2">
    <mergeCell ref="J7:P7"/>
    <mergeCell ref="I22:O22"/>
  </mergeCells>
  <hyperlinks>
    <hyperlink display="Week at a Glance" location="'Week At a Glance'!A2" ref="J7"/>
    <hyperlink display="Week at a Glance" location="'Week At a Glance'!A2" ref="I22"/>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57</v>
      </c>
      <c r="B2" s="33"/>
      <c r="C2" s="34">
        <v>46031.0</v>
      </c>
      <c r="D2" s="35">
        <v>2.0</v>
      </c>
      <c r="E2" s="36">
        <v>5.0</v>
      </c>
      <c r="F2" s="37">
        <v>2.0</v>
      </c>
      <c r="G2" s="37">
        <v>15.0</v>
      </c>
      <c r="H2" s="38">
        <f t="shared" ref="H2:H17" si="1">E2*F2*G2</f>
        <v>150</v>
      </c>
    </row>
    <row r="3">
      <c r="A3" s="32" t="s">
        <v>57</v>
      </c>
      <c r="B3" s="33"/>
      <c r="C3" s="34">
        <v>46038.0</v>
      </c>
      <c r="D3" s="35">
        <v>2.0</v>
      </c>
      <c r="E3" s="36">
        <v>5.0</v>
      </c>
      <c r="F3" s="37">
        <v>2.0</v>
      </c>
      <c r="G3" s="37">
        <v>17.0</v>
      </c>
      <c r="H3" s="38">
        <f t="shared" si="1"/>
        <v>170</v>
      </c>
    </row>
    <row r="4">
      <c r="A4" s="32" t="s">
        <v>57</v>
      </c>
      <c r="B4" s="33"/>
      <c r="C4" s="34">
        <v>46045.0</v>
      </c>
      <c r="D4" s="35">
        <v>2.0</v>
      </c>
      <c r="E4" s="36">
        <v>5.0</v>
      </c>
      <c r="F4" s="37">
        <v>2.0</v>
      </c>
      <c r="G4" s="37">
        <v>20.0</v>
      </c>
      <c r="H4" s="38">
        <f t="shared" si="1"/>
        <v>200</v>
      </c>
    </row>
    <row r="5">
      <c r="A5" s="32" t="s">
        <v>57</v>
      </c>
      <c r="B5" s="33"/>
      <c r="C5" s="34">
        <v>46052.0</v>
      </c>
      <c r="D5" s="35">
        <v>2.0</v>
      </c>
      <c r="E5" s="36">
        <v>10.0</v>
      </c>
      <c r="F5" s="37">
        <v>2.0</v>
      </c>
      <c r="G5" s="37">
        <v>8.0</v>
      </c>
      <c r="H5" s="38">
        <f t="shared" si="1"/>
        <v>160</v>
      </c>
    </row>
    <row r="6">
      <c r="A6" s="32" t="s">
        <v>57</v>
      </c>
      <c r="B6" s="33"/>
      <c r="C6" s="34">
        <v>46059.0</v>
      </c>
      <c r="D6" s="35">
        <v>2.0</v>
      </c>
      <c r="E6" s="36">
        <v>10.0</v>
      </c>
      <c r="F6" s="37">
        <v>2.0</v>
      </c>
      <c r="G6" s="37">
        <v>10.0</v>
      </c>
      <c r="H6" s="38">
        <f t="shared" si="1"/>
        <v>200</v>
      </c>
    </row>
    <row r="7">
      <c r="A7" s="32" t="s">
        <v>57</v>
      </c>
      <c r="B7" s="33"/>
      <c r="C7" s="34">
        <v>46066.0</v>
      </c>
      <c r="D7" s="35">
        <v>2.0</v>
      </c>
      <c r="E7" s="36">
        <v>10.0</v>
      </c>
      <c r="F7" s="37">
        <v>2.0</v>
      </c>
      <c r="G7" s="37">
        <v>12.0</v>
      </c>
      <c r="H7" s="38">
        <f t="shared" si="1"/>
        <v>240</v>
      </c>
      <c r="J7" s="39" t="s">
        <v>54</v>
      </c>
      <c r="K7" s="40"/>
      <c r="L7" s="40"/>
      <c r="M7" s="40"/>
      <c r="N7" s="40"/>
      <c r="O7" s="40"/>
      <c r="P7" s="41"/>
    </row>
    <row r="8">
      <c r="A8" s="32" t="s">
        <v>57</v>
      </c>
      <c r="B8" s="33"/>
      <c r="C8" s="34">
        <v>46073.0</v>
      </c>
      <c r="D8" s="35">
        <v>2.0</v>
      </c>
      <c r="E8" s="36">
        <v>10.0</v>
      </c>
      <c r="F8" s="37">
        <v>3.0</v>
      </c>
      <c r="G8" s="37">
        <v>8.0</v>
      </c>
      <c r="H8" s="38">
        <f t="shared" si="1"/>
        <v>240</v>
      </c>
    </row>
    <row r="9">
      <c r="A9" s="32" t="s">
        <v>57</v>
      </c>
      <c r="B9" s="33"/>
      <c r="C9" s="34">
        <v>46080.0</v>
      </c>
      <c r="D9" s="35">
        <v>2.0</v>
      </c>
      <c r="E9" s="36">
        <v>10.0</v>
      </c>
      <c r="F9" s="37">
        <v>3.0</v>
      </c>
      <c r="G9" s="37">
        <v>10.0</v>
      </c>
      <c r="H9" s="38">
        <f t="shared" si="1"/>
        <v>300</v>
      </c>
    </row>
    <row r="10">
      <c r="A10" s="32" t="s">
        <v>57</v>
      </c>
      <c r="B10" s="33"/>
      <c r="C10" s="34">
        <v>46087.0</v>
      </c>
      <c r="D10" s="35">
        <v>2.0</v>
      </c>
      <c r="E10" s="36">
        <v>10.0</v>
      </c>
      <c r="F10" s="37">
        <v>3.0</v>
      </c>
      <c r="G10" s="37">
        <v>12.0</v>
      </c>
      <c r="H10" s="38">
        <f t="shared" si="1"/>
        <v>360</v>
      </c>
    </row>
    <row r="11">
      <c r="A11" s="32" t="s">
        <v>57</v>
      </c>
      <c r="B11" s="33"/>
      <c r="C11" s="34">
        <v>46094.0</v>
      </c>
      <c r="D11" s="35">
        <v>2.0</v>
      </c>
      <c r="E11" s="36">
        <v>10.0</v>
      </c>
      <c r="F11" s="37">
        <v>2.0</v>
      </c>
      <c r="G11" s="37">
        <v>14.0</v>
      </c>
      <c r="H11" s="38">
        <f t="shared" si="1"/>
        <v>280</v>
      </c>
    </row>
    <row r="12">
      <c r="A12" s="32" t="s">
        <v>57</v>
      </c>
      <c r="B12" s="33"/>
      <c r="C12" s="34">
        <v>46101.0</v>
      </c>
      <c r="D12" s="35">
        <v>2.0</v>
      </c>
      <c r="E12" s="36">
        <v>10.0</v>
      </c>
      <c r="F12" s="37">
        <v>2.0</v>
      </c>
      <c r="G12" s="37">
        <v>16.0</v>
      </c>
      <c r="H12" s="38">
        <f t="shared" si="1"/>
        <v>320</v>
      </c>
    </row>
    <row r="13">
      <c r="A13" s="32" t="s">
        <v>57</v>
      </c>
      <c r="B13" s="33"/>
      <c r="C13" s="34">
        <v>46108.0</v>
      </c>
      <c r="D13" s="35">
        <v>2.0</v>
      </c>
      <c r="E13" s="36">
        <v>10.0</v>
      </c>
      <c r="F13" s="37">
        <v>2.0</v>
      </c>
      <c r="G13" s="37">
        <v>20.0</v>
      </c>
      <c r="H13" s="38">
        <f t="shared" si="1"/>
        <v>400</v>
      </c>
    </row>
    <row r="14">
      <c r="A14" s="32" t="s">
        <v>57</v>
      </c>
      <c r="B14" s="33"/>
      <c r="C14" s="34">
        <v>46115.0</v>
      </c>
      <c r="D14" s="35">
        <v>2.0</v>
      </c>
      <c r="E14" s="36">
        <v>10.0</v>
      </c>
      <c r="F14" s="37">
        <v>3.0</v>
      </c>
      <c r="G14" s="37">
        <v>14.0</v>
      </c>
      <c r="H14" s="38">
        <f t="shared" si="1"/>
        <v>420</v>
      </c>
    </row>
    <row r="15">
      <c r="A15" s="32" t="s">
        <v>57</v>
      </c>
      <c r="B15" s="33"/>
      <c r="C15" s="34">
        <v>46122.0</v>
      </c>
      <c r="D15" s="35">
        <v>2.0</v>
      </c>
      <c r="E15" s="36">
        <v>10.0</v>
      </c>
      <c r="F15" s="37">
        <v>3.0</v>
      </c>
      <c r="G15" s="37">
        <v>16.0</v>
      </c>
      <c r="H15" s="38">
        <f t="shared" si="1"/>
        <v>480</v>
      </c>
    </row>
    <row r="16">
      <c r="A16" s="32" t="s">
        <v>57</v>
      </c>
      <c r="B16" s="33"/>
      <c r="C16" s="34">
        <v>46129.0</v>
      </c>
      <c r="D16" s="35">
        <v>2.0</v>
      </c>
      <c r="E16" s="36">
        <v>10.0</v>
      </c>
      <c r="F16" s="37">
        <v>3.0</v>
      </c>
      <c r="G16" s="37">
        <v>20.0</v>
      </c>
      <c r="H16" s="38">
        <f t="shared" si="1"/>
        <v>600</v>
      </c>
    </row>
    <row r="17">
      <c r="A17" s="32" t="s">
        <v>57</v>
      </c>
      <c r="B17" s="33"/>
      <c r="C17" s="34">
        <v>46136.0</v>
      </c>
      <c r="D17" s="35">
        <v>2.0</v>
      </c>
      <c r="E17" s="36">
        <v>10.0</v>
      </c>
      <c r="F17" s="37">
        <v>3.0</v>
      </c>
      <c r="G17" s="37">
        <v>15.0</v>
      </c>
      <c r="H17" s="38">
        <f t="shared" si="1"/>
        <v>450</v>
      </c>
    </row>
    <row r="21">
      <c r="I21" s="39" t="s">
        <v>54</v>
      </c>
      <c r="J21" s="40"/>
      <c r="K21" s="40"/>
      <c r="L21" s="40"/>
      <c r="M21" s="40"/>
      <c r="N21" s="40"/>
      <c r="O21" s="41"/>
    </row>
  </sheetData>
  <mergeCells count="2">
    <mergeCell ref="J7:P7"/>
    <mergeCell ref="I21:O21"/>
  </mergeCells>
  <hyperlinks>
    <hyperlink display="Week at a Glance" location="'Week At a Glance'!A2" ref="J7"/>
    <hyperlink display="Week at a Glance" location="'Week At a Glance'!A2" ref="I2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19</v>
      </c>
      <c r="B2" s="33"/>
      <c r="C2" s="34">
        <v>46031.0</v>
      </c>
      <c r="D2" s="35">
        <v>1.0</v>
      </c>
      <c r="E2" s="36">
        <v>10.0</v>
      </c>
      <c r="F2" s="37">
        <v>2.0</v>
      </c>
      <c r="G2" s="37">
        <v>15.0</v>
      </c>
      <c r="H2" s="38">
        <f t="shared" ref="H2:H17" si="1">E2*F2*G2</f>
        <v>300</v>
      </c>
    </row>
    <row r="3">
      <c r="A3" s="32" t="s">
        <v>19</v>
      </c>
      <c r="B3" s="33"/>
      <c r="C3" s="34">
        <v>46038.0</v>
      </c>
      <c r="D3" s="35">
        <v>1.0</v>
      </c>
      <c r="E3" s="36">
        <v>10.0</v>
      </c>
      <c r="F3" s="37">
        <v>3.0</v>
      </c>
      <c r="G3" s="37">
        <v>15.0</v>
      </c>
      <c r="H3" s="38">
        <f t="shared" si="1"/>
        <v>450</v>
      </c>
    </row>
    <row r="4">
      <c r="A4" s="32" t="s">
        <v>19</v>
      </c>
      <c r="B4" s="33"/>
      <c r="C4" s="34">
        <v>46045.0</v>
      </c>
      <c r="D4" s="35">
        <v>1.0</v>
      </c>
      <c r="E4" s="36">
        <v>10.0</v>
      </c>
      <c r="F4" s="37">
        <v>4.0</v>
      </c>
      <c r="G4" s="37">
        <v>15.0</v>
      </c>
      <c r="H4" s="38">
        <f t="shared" si="1"/>
        <v>600</v>
      </c>
    </row>
    <row r="5">
      <c r="A5" s="32" t="s">
        <v>19</v>
      </c>
      <c r="B5" s="33"/>
      <c r="C5" s="34">
        <v>46052.0</v>
      </c>
      <c r="D5" s="35">
        <v>2.0</v>
      </c>
      <c r="E5" s="36">
        <v>25.0</v>
      </c>
      <c r="F5" s="37">
        <v>2.0</v>
      </c>
      <c r="G5" s="37">
        <v>8.0</v>
      </c>
      <c r="H5" s="38">
        <f t="shared" si="1"/>
        <v>400</v>
      </c>
    </row>
    <row r="6">
      <c r="A6" s="32" t="s">
        <v>19</v>
      </c>
      <c r="B6" s="33"/>
      <c r="C6" s="34">
        <v>46059.0</v>
      </c>
      <c r="D6" s="35">
        <v>2.0</v>
      </c>
      <c r="E6" s="36">
        <v>25.0</v>
      </c>
      <c r="F6" s="37">
        <v>3.0</v>
      </c>
      <c r="G6" s="37">
        <v>8.0</v>
      </c>
      <c r="H6" s="38">
        <f t="shared" si="1"/>
        <v>600</v>
      </c>
    </row>
    <row r="7">
      <c r="A7" s="32" t="s">
        <v>19</v>
      </c>
      <c r="B7" s="33"/>
      <c r="C7" s="34">
        <v>46066.0</v>
      </c>
      <c r="D7" s="35">
        <v>2.0</v>
      </c>
      <c r="E7" s="36">
        <v>25.0</v>
      </c>
      <c r="F7" s="37">
        <v>4.0</v>
      </c>
      <c r="G7" s="37">
        <v>8.0</v>
      </c>
      <c r="H7" s="38">
        <f t="shared" si="1"/>
        <v>800</v>
      </c>
      <c r="J7" s="39" t="s">
        <v>54</v>
      </c>
      <c r="K7" s="40"/>
      <c r="L7" s="40"/>
      <c r="M7" s="40"/>
      <c r="N7" s="40"/>
      <c r="O7" s="40"/>
      <c r="P7" s="41"/>
    </row>
    <row r="8">
      <c r="A8" s="32" t="s">
        <v>19</v>
      </c>
      <c r="B8" s="33"/>
      <c r="C8" s="34">
        <v>46073.0</v>
      </c>
      <c r="D8" s="35">
        <v>2.0</v>
      </c>
      <c r="E8" s="36">
        <v>25.0</v>
      </c>
      <c r="F8" s="37">
        <v>2.0</v>
      </c>
      <c r="G8" s="37">
        <v>10.0</v>
      </c>
      <c r="H8" s="38">
        <f t="shared" si="1"/>
        <v>500</v>
      </c>
    </row>
    <row r="9">
      <c r="A9" s="32" t="s">
        <v>19</v>
      </c>
      <c r="B9" s="33"/>
      <c r="C9" s="34">
        <v>46080.0</v>
      </c>
      <c r="D9" s="35">
        <v>2.0</v>
      </c>
      <c r="E9" s="36">
        <v>25.0</v>
      </c>
      <c r="F9" s="37">
        <v>3.0</v>
      </c>
      <c r="G9" s="37">
        <v>10.0</v>
      </c>
      <c r="H9" s="38">
        <f t="shared" si="1"/>
        <v>750</v>
      </c>
    </row>
    <row r="10">
      <c r="A10" s="32" t="s">
        <v>19</v>
      </c>
      <c r="B10" s="33"/>
      <c r="C10" s="34">
        <v>46087.0</v>
      </c>
      <c r="D10" s="35">
        <v>2.0</v>
      </c>
      <c r="E10" s="36">
        <v>25.0</v>
      </c>
      <c r="F10" s="37">
        <v>4.0</v>
      </c>
      <c r="G10" s="37">
        <v>10.0</v>
      </c>
      <c r="H10" s="38">
        <f t="shared" si="1"/>
        <v>1000</v>
      </c>
    </row>
    <row r="11">
      <c r="A11" s="32" t="s">
        <v>19</v>
      </c>
      <c r="B11" s="33"/>
      <c r="C11" s="34">
        <v>46094.0</v>
      </c>
      <c r="D11" s="35">
        <v>3.0</v>
      </c>
      <c r="E11" s="36">
        <v>25.0</v>
      </c>
      <c r="F11" s="37">
        <v>2.0</v>
      </c>
      <c r="G11" s="37">
        <v>12.0</v>
      </c>
      <c r="H11" s="38">
        <f t="shared" si="1"/>
        <v>600</v>
      </c>
    </row>
    <row r="12">
      <c r="A12" s="32" t="s">
        <v>19</v>
      </c>
      <c r="B12" s="33"/>
      <c r="C12" s="34">
        <v>46101.0</v>
      </c>
      <c r="D12" s="35">
        <v>3.0</v>
      </c>
      <c r="E12" s="36">
        <v>25.0</v>
      </c>
      <c r="F12" s="37">
        <v>3.0</v>
      </c>
      <c r="G12" s="37">
        <v>12.0</v>
      </c>
      <c r="H12" s="38">
        <f t="shared" si="1"/>
        <v>900</v>
      </c>
    </row>
    <row r="13">
      <c r="A13" s="32" t="s">
        <v>19</v>
      </c>
      <c r="B13" s="33"/>
      <c r="C13" s="34">
        <v>46108.0</v>
      </c>
      <c r="D13" s="35">
        <v>3.0</v>
      </c>
      <c r="E13" s="36">
        <v>25.0</v>
      </c>
      <c r="F13" s="37">
        <v>4.0</v>
      </c>
      <c r="G13" s="37">
        <v>12.0</v>
      </c>
      <c r="H13" s="38">
        <f t="shared" si="1"/>
        <v>1200</v>
      </c>
    </row>
    <row r="14">
      <c r="A14" s="32" t="s">
        <v>19</v>
      </c>
      <c r="B14" s="33"/>
      <c r="C14" s="34">
        <v>46115.0</v>
      </c>
      <c r="D14" s="35">
        <v>3.0</v>
      </c>
      <c r="E14" s="36">
        <v>25.0</v>
      </c>
      <c r="F14" s="37">
        <v>2.0</v>
      </c>
      <c r="G14" s="37">
        <v>15.0</v>
      </c>
      <c r="H14" s="38">
        <f t="shared" si="1"/>
        <v>750</v>
      </c>
    </row>
    <row r="15">
      <c r="A15" s="32" t="s">
        <v>19</v>
      </c>
      <c r="B15" s="33"/>
      <c r="C15" s="34">
        <v>46122.0</v>
      </c>
      <c r="D15" s="35">
        <v>3.0</v>
      </c>
      <c r="E15" s="36">
        <v>25.0</v>
      </c>
      <c r="F15" s="37">
        <v>3.0</v>
      </c>
      <c r="G15" s="37">
        <v>15.0</v>
      </c>
      <c r="H15" s="38">
        <f t="shared" si="1"/>
        <v>1125</v>
      </c>
    </row>
    <row r="16">
      <c r="A16" s="32" t="s">
        <v>19</v>
      </c>
      <c r="B16" s="33"/>
      <c r="C16" s="34">
        <v>46129.0</v>
      </c>
      <c r="D16" s="35">
        <v>3.0</v>
      </c>
      <c r="E16" s="36">
        <v>25.0</v>
      </c>
      <c r="F16" s="37">
        <v>4.0</v>
      </c>
      <c r="G16" s="37">
        <v>15.0</v>
      </c>
      <c r="H16" s="38">
        <f t="shared" si="1"/>
        <v>1500</v>
      </c>
    </row>
    <row r="17">
      <c r="A17" s="32" t="s">
        <v>19</v>
      </c>
      <c r="B17" s="33"/>
      <c r="C17" s="34">
        <v>46136.0</v>
      </c>
      <c r="D17" s="35">
        <v>3.0</v>
      </c>
      <c r="E17" s="36">
        <v>35.0</v>
      </c>
      <c r="F17" s="37">
        <v>2.0</v>
      </c>
      <c r="G17" s="37">
        <v>12.0</v>
      </c>
      <c r="H17" s="38">
        <f t="shared" si="1"/>
        <v>840</v>
      </c>
    </row>
    <row r="21">
      <c r="I21" s="39" t="s">
        <v>54</v>
      </c>
      <c r="J21" s="40"/>
      <c r="K21" s="40"/>
      <c r="L21" s="40"/>
      <c r="M21" s="40"/>
      <c r="N21" s="40"/>
      <c r="O21" s="41"/>
    </row>
  </sheetData>
  <mergeCells count="2">
    <mergeCell ref="J7:P7"/>
    <mergeCell ref="I21:O21"/>
  </mergeCells>
  <hyperlinks>
    <hyperlink display="Week at a Glance" location="'Week At a Glance'!A2" ref="J7"/>
    <hyperlink display="Week at a Glance" location="'Week At a Glance'!A2" ref="I2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15</v>
      </c>
      <c r="B2" s="33"/>
      <c r="C2" s="34">
        <v>46031.0</v>
      </c>
      <c r="D2" s="35">
        <v>1.0</v>
      </c>
      <c r="E2" s="36">
        <v>65.0</v>
      </c>
      <c r="F2" s="37">
        <v>2.0</v>
      </c>
      <c r="G2" s="37">
        <v>10.0</v>
      </c>
      <c r="H2" s="38">
        <f t="shared" ref="H2:H17" si="1">E2*F2*G2</f>
        <v>1300</v>
      </c>
    </row>
    <row r="3">
      <c r="A3" s="32" t="s">
        <v>15</v>
      </c>
      <c r="B3" s="33"/>
      <c r="C3" s="34">
        <v>46038.0</v>
      </c>
      <c r="D3" s="35">
        <v>2.0</v>
      </c>
      <c r="E3" s="36">
        <v>65.0</v>
      </c>
      <c r="F3" s="37">
        <v>3.0</v>
      </c>
      <c r="G3" s="37">
        <v>8.0</v>
      </c>
      <c r="H3" s="38">
        <f t="shared" si="1"/>
        <v>1560</v>
      </c>
    </row>
    <row r="4">
      <c r="A4" s="32" t="s">
        <v>15</v>
      </c>
      <c r="B4" s="33"/>
      <c r="C4" s="34">
        <v>46045.0</v>
      </c>
      <c r="D4" s="35">
        <v>1.0</v>
      </c>
      <c r="E4" s="36">
        <v>70.0</v>
      </c>
      <c r="F4" s="37">
        <v>2.0</v>
      </c>
      <c r="G4" s="37">
        <v>10.0</v>
      </c>
      <c r="H4" s="38">
        <f t="shared" si="1"/>
        <v>1400</v>
      </c>
    </row>
    <row r="5">
      <c r="A5" s="32" t="s">
        <v>15</v>
      </c>
      <c r="B5" s="33"/>
      <c r="C5" s="34">
        <v>46052.0</v>
      </c>
      <c r="D5" s="35">
        <v>2.0</v>
      </c>
      <c r="E5" s="36">
        <v>70.0</v>
      </c>
      <c r="F5" s="37">
        <v>3.0</v>
      </c>
      <c r="G5" s="37">
        <v>8.0</v>
      </c>
      <c r="H5" s="38">
        <f t="shared" si="1"/>
        <v>1680</v>
      </c>
    </row>
    <row r="6">
      <c r="A6" s="32" t="s">
        <v>15</v>
      </c>
      <c r="B6" s="33"/>
      <c r="C6" s="34">
        <v>46059.0</v>
      </c>
      <c r="D6" s="35">
        <v>1.0</v>
      </c>
      <c r="E6" s="36">
        <v>75.0</v>
      </c>
      <c r="F6" s="37">
        <v>2.0</v>
      </c>
      <c r="G6" s="37">
        <v>10.0</v>
      </c>
      <c r="H6" s="38">
        <f t="shared" si="1"/>
        <v>1500</v>
      </c>
    </row>
    <row r="7">
      <c r="A7" s="32" t="s">
        <v>15</v>
      </c>
      <c r="B7" s="33"/>
      <c r="C7" s="34">
        <v>46066.0</v>
      </c>
      <c r="D7" s="35">
        <v>2.0</v>
      </c>
      <c r="E7" s="36">
        <v>75.0</v>
      </c>
      <c r="F7" s="37">
        <v>3.0</v>
      </c>
      <c r="G7" s="37">
        <v>8.0</v>
      </c>
      <c r="H7" s="38">
        <f t="shared" si="1"/>
        <v>1800</v>
      </c>
      <c r="J7" s="39" t="s">
        <v>54</v>
      </c>
      <c r="K7" s="40"/>
      <c r="L7" s="40"/>
      <c r="M7" s="40"/>
      <c r="N7" s="40"/>
      <c r="O7" s="40"/>
      <c r="P7" s="41"/>
    </row>
    <row r="8">
      <c r="A8" s="32" t="s">
        <v>15</v>
      </c>
      <c r="B8" s="33"/>
      <c r="C8" s="34">
        <v>46073.0</v>
      </c>
      <c r="D8" s="35">
        <v>1.0</v>
      </c>
      <c r="E8" s="36">
        <v>80.0</v>
      </c>
      <c r="F8" s="37">
        <v>2.0</v>
      </c>
      <c r="G8" s="37">
        <v>10.0</v>
      </c>
      <c r="H8" s="38">
        <f t="shared" si="1"/>
        <v>1600</v>
      </c>
    </row>
    <row r="9">
      <c r="A9" s="32" t="s">
        <v>15</v>
      </c>
      <c r="B9" s="33"/>
      <c r="C9" s="34">
        <v>46080.0</v>
      </c>
      <c r="D9" s="35">
        <v>2.0</v>
      </c>
      <c r="E9" s="36">
        <v>80.0</v>
      </c>
      <c r="F9" s="37">
        <v>3.0</v>
      </c>
      <c r="G9" s="37">
        <v>8.0</v>
      </c>
      <c r="H9" s="38">
        <f t="shared" si="1"/>
        <v>1920</v>
      </c>
    </row>
    <row r="10">
      <c r="A10" s="32" t="s">
        <v>15</v>
      </c>
      <c r="B10" s="33"/>
      <c r="C10" s="34">
        <v>46087.0</v>
      </c>
      <c r="D10" s="35">
        <v>1.0</v>
      </c>
      <c r="E10" s="36">
        <v>85.0</v>
      </c>
      <c r="F10" s="37">
        <v>2.0</v>
      </c>
      <c r="G10" s="37">
        <v>10.0</v>
      </c>
      <c r="H10" s="38">
        <f t="shared" si="1"/>
        <v>1700</v>
      </c>
    </row>
    <row r="11">
      <c r="A11" s="32" t="s">
        <v>15</v>
      </c>
      <c r="B11" s="33"/>
      <c r="C11" s="34">
        <v>46094.0</v>
      </c>
      <c r="D11" s="35">
        <v>2.0</v>
      </c>
      <c r="E11" s="36">
        <v>85.0</v>
      </c>
      <c r="F11" s="37">
        <v>3.0</v>
      </c>
      <c r="G11" s="37">
        <v>8.0</v>
      </c>
      <c r="H11" s="38">
        <f t="shared" si="1"/>
        <v>2040</v>
      </c>
    </row>
    <row r="12">
      <c r="A12" s="32" t="s">
        <v>15</v>
      </c>
      <c r="B12" s="33"/>
      <c r="C12" s="34">
        <v>46101.0</v>
      </c>
      <c r="D12" s="35">
        <v>1.0</v>
      </c>
      <c r="E12" s="36">
        <v>90.0</v>
      </c>
      <c r="F12" s="37">
        <v>2.0</v>
      </c>
      <c r="G12" s="37">
        <v>10.0</v>
      </c>
      <c r="H12" s="38">
        <f t="shared" si="1"/>
        <v>1800</v>
      </c>
    </row>
    <row r="13">
      <c r="A13" s="32" t="s">
        <v>15</v>
      </c>
      <c r="B13" s="33"/>
      <c r="C13" s="34">
        <v>46108.0</v>
      </c>
      <c r="D13" s="35">
        <v>2.0</v>
      </c>
      <c r="E13" s="36">
        <v>90.0</v>
      </c>
      <c r="F13" s="37">
        <v>3.0</v>
      </c>
      <c r="G13" s="37">
        <v>8.0</v>
      </c>
      <c r="H13" s="38">
        <f t="shared" si="1"/>
        <v>2160</v>
      </c>
    </row>
    <row r="14">
      <c r="A14" s="32" t="s">
        <v>15</v>
      </c>
      <c r="B14" s="33"/>
      <c r="C14" s="34">
        <v>46115.0</v>
      </c>
      <c r="D14" s="35">
        <v>1.0</v>
      </c>
      <c r="E14" s="36">
        <v>95.0</v>
      </c>
      <c r="F14" s="37">
        <v>2.0</v>
      </c>
      <c r="G14" s="37">
        <v>10.0</v>
      </c>
      <c r="H14" s="38">
        <f t="shared" si="1"/>
        <v>1900</v>
      </c>
    </row>
    <row r="15">
      <c r="A15" s="32" t="s">
        <v>15</v>
      </c>
      <c r="B15" s="33"/>
      <c r="C15" s="34">
        <v>46122.0</v>
      </c>
      <c r="D15" s="35">
        <v>2.0</v>
      </c>
      <c r="E15" s="36">
        <v>95.0</v>
      </c>
      <c r="F15" s="37">
        <v>3.0</v>
      </c>
      <c r="G15" s="37">
        <v>8.0</v>
      </c>
      <c r="H15" s="38">
        <f t="shared" si="1"/>
        <v>2280</v>
      </c>
    </row>
    <row r="16">
      <c r="A16" s="32" t="s">
        <v>15</v>
      </c>
      <c r="B16" s="33"/>
      <c r="C16" s="34">
        <v>46129.0</v>
      </c>
      <c r="D16" s="35">
        <v>1.0</v>
      </c>
      <c r="E16" s="36">
        <v>105.0</v>
      </c>
      <c r="F16" s="37">
        <v>2.0</v>
      </c>
      <c r="G16" s="37">
        <v>10.0</v>
      </c>
      <c r="H16" s="38">
        <f t="shared" si="1"/>
        <v>2100</v>
      </c>
    </row>
    <row r="17">
      <c r="A17" s="32" t="s">
        <v>15</v>
      </c>
      <c r="B17" s="33"/>
      <c r="C17" s="34">
        <v>46136.0</v>
      </c>
      <c r="D17" s="35">
        <v>2.0</v>
      </c>
      <c r="E17" s="36">
        <v>105.0</v>
      </c>
      <c r="F17" s="37">
        <v>3.0</v>
      </c>
      <c r="G17" s="37">
        <v>8.0</v>
      </c>
      <c r="H17" s="38">
        <f t="shared" si="1"/>
        <v>2520</v>
      </c>
    </row>
    <row r="21">
      <c r="I21" s="39" t="s">
        <v>54</v>
      </c>
      <c r="J21" s="40"/>
      <c r="K21" s="40"/>
      <c r="L21" s="40"/>
      <c r="M21" s="40"/>
      <c r="N21" s="40"/>
      <c r="O21" s="41"/>
    </row>
  </sheetData>
  <mergeCells count="2">
    <mergeCell ref="J7:P7"/>
    <mergeCell ref="I21:O21"/>
  </mergeCells>
  <hyperlinks>
    <hyperlink display="Week at a Glance" location="'Week At a Glance'!A2" ref="J7"/>
    <hyperlink display="Week at a Glance" location="'Week At a Glance'!A2" ref="I2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58</v>
      </c>
      <c r="B2" s="33"/>
      <c r="C2" s="34">
        <v>46030.0</v>
      </c>
      <c r="D2" s="35">
        <v>2.0</v>
      </c>
      <c r="E2" s="36">
        <v>10.0</v>
      </c>
      <c r="F2" s="37">
        <v>4.0</v>
      </c>
      <c r="G2" s="37">
        <v>12.0</v>
      </c>
      <c r="H2" s="38">
        <f t="shared" ref="H2:H17" si="1">E2*F2*G2</f>
        <v>480</v>
      </c>
    </row>
    <row r="3">
      <c r="A3" s="32" t="s">
        <v>58</v>
      </c>
      <c r="B3" s="33"/>
      <c r="C3" s="34">
        <v>46037.0</v>
      </c>
      <c r="D3" s="35">
        <v>2.0</v>
      </c>
      <c r="E3" s="36">
        <v>10.0</v>
      </c>
      <c r="F3" s="37">
        <v>4.0</v>
      </c>
      <c r="G3" s="37">
        <v>13.0</v>
      </c>
      <c r="H3" s="38">
        <f t="shared" si="1"/>
        <v>520</v>
      </c>
    </row>
    <row r="4">
      <c r="A4" s="32" t="s">
        <v>58</v>
      </c>
      <c r="B4" s="33"/>
      <c r="C4" s="34">
        <v>46044.0</v>
      </c>
      <c r="D4" s="35">
        <v>2.0</v>
      </c>
      <c r="E4" s="36">
        <v>10.0</v>
      </c>
      <c r="F4" s="37">
        <v>4.0</v>
      </c>
      <c r="G4" s="37">
        <v>14.0</v>
      </c>
      <c r="H4" s="38">
        <f t="shared" si="1"/>
        <v>560</v>
      </c>
    </row>
    <row r="5">
      <c r="A5" s="32" t="s">
        <v>58</v>
      </c>
      <c r="B5" s="33"/>
      <c r="C5" s="34">
        <v>46051.0</v>
      </c>
      <c r="D5" s="35">
        <v>2.0</v>
      </c>
      <c r="E5" s="36">
        <v>10.0</v>
      </c>
      <c r="F5" s="37">
        <v>4.0</v>
      </c>
      <c r="G5" s="37">
        <v>15.0</v>
      </c>
      <c r="H5" s="38">
        <f t="shared" si="1"/>
        <v>600</v>
      </c>
    </row>
    <row r="6">
      <c r="A6" s="32" t="s">
        <v>58</v>
      </c>
      <c r="B6" s="33"/>
      <c r="C6" s="34">
        <v>46058.0</v>
      </c>
      <c r="D6" s="35">
        <v>2.0</v>
      </c>
      <c r="E6" s="36">
        <v>15.0</v>
      </c>
      <c r="F6" s="37">
        <v>4.0</v>
      </c>
      <c r="G6" s="37">
        <v>12.0</v>
      </c>
      <c r="H6" s="38">
        <f t="shared" si="1"/>
        <v>720</v>
      </c>
    </row>
    <row r="7">
      <c r="A7" s="32" t="s">
        <v>58</v>
      </c>
      <c r="B7" s="33"/>
      <c r="C7" s="34">
        <v>46065.0</v>
      </c>
      <c r="D7" s="35">
        <v>2.0</v>
      </c>
      <c r="E7" s="36">
        <v>15.0</v>
      </c>
      <c r="F7" s="37">
        <v>4.0</v>
      </c>
      <c r="G7" s="37">
        <v>13.0</v>
      </c>
      <c r="H7" s="38">
        <f t="shared" si="1"/>
        <v>780</v>
      </c>
      <c r="J7" s="39" t="s">
        <v>54</v>
      </c>
      <c r="K7" s="40"/>
      <c r="L7" s="40"/>
      <c r="M7" s="40"/>
      <c r="N7" s="40"/>
      <c r="O7" s="40"/>
      <c r="P7" s="41"/>
    </row>
    <row r="8">
      <c r="A8" s="32" t="s">
        <v>58</v>
      </c>
      <c r="B8" s="33"/>
      <c r="C8" s="34">
        <v>46072.0</v>
      </c>
      <c r="D8" s="35">
        <v>2.0</v>
      </c>
      <c r="E8" s="36">
        <v>15.0</v>
      </c>
      <c r="F8" s="37">
        <v>4.0</v>
      </c>
      <c r="G8" s="37">
        <v>14.0</v>
      </c>
      <c r="H8" s="38">
        <f t="shared" si="1"/>
        <v>840</v>
      </c>
    </row>
    <row r="9">
      <c r="A9" s="32" t="s">
        <v>58</v>
      </c>
      <c r="B9" s="33"/>
      <c r="C9" s="34">
        <v>46079.0</v>
      </c>
      <c r="D9" s="35">
        <v>2.0</v>
      </c>
      <c r="E9" s="36">
        <v>15.0</v>
      </c>
      <c r="F9" s="37">
        <v>4.0</v>
      </c>
      <c r="G9" s="37">
        <v>15.0</v>
      </c>
      <c r="H9" s="38">
        <f t="shared" si="1"/>
        <v>900</v>
      </c>
    </row>
    <row r="10">
      <c r="A10" s="32" t="s">
        <v>58</v>
      </c>
      <c r="B10" s="33"/>
      <c r="C10" s="34">
        <v>46086.0</v>
      </c>
      <c r="D10" s="35">
        <v>2.0</v>
      </c>
      <c r="E10" s="36">
        <v>20.0</v>
      </c>
      <c r="F10" s="37">
        <v>4.0</v>
      </c>
      <c r="G10" s="37">
        <v>12.0</v>
      </c>
      <c r="H10" s="38">
        <f t="shared" si="1"/>
        <v>960</v>
      </c>
    </row>
    <row r="11">
      <c r="A11" s="32" t="s">
        <v>58</v>
      </c>
      <c r="B11" s="33"/>
      <c r="C11" s="34">
        <v>46093.0</v>
      </c>
      <c r="D11" s="35">
        <v>2.0</v>
      </c>
      <c r="E11" s="36">
        <v>20.0</v>
      </c>
      <c r="F11" s="37">
        <v>4.0</v>
      </c>
      <c r="G11" s="37">
        <v>13.0</v>
      </c>
      <c r="H11" s="38">
        <f t="shared" si="1"/>
        <v>1040</v>
      </c>
    </row>
    <row r="12">
      <c r="A12" s="32" t="s">
        <v>58</v>
      </c>
      <c r="B12" s="33"/>
      <c r="C12" s="34">
        <v>46100.0</v>
      </c>
      <c r="D12" s="35">
        <v>2.0</v>
      </c>
      <c r="E12" s="36">
        <v>20.0</v>
      </c>
      <c r="F12" s="37">
        <v>4.0</v>
      </c>
      <c r="G12" s="37">
        <v>14.0</v>
      </c>
      <c r="H12" s="38">
        <f t="shared" si="1"/>
        <v>1120</v>
      </c>
    </row>
    <row r="13">
      <c r="A13" s="32" t="s">
        <v>58</v>
      </c>
      <c r="B13" s="33"/>
      <c r="C13" s="34">
        <v>46107.0</v>
      </c>
      <c r="D13" s="35">
        <v>2.0</v>
      </c>
      <c r="E13" s="36">
        <v>20.0</v>
      </c>
      <c r="F13" s="37">
        <v>4.0</v>
      </c>
      <c r="G13" s="37">
        <v>15.0</v>
      </c>
      <c r="H13" s="38">
        <f t="shared" si="1"/>
        <v>1200</v>
      </c>
    </row>
    <row r="14">
      <c r="A14" s="32" t="s">
        <v>58</v>
      </c>
      <c r="B14" s="33"/>
      <c r="C14" s="34">
        <v>46114.0</v>
      </c>
      <c r="D14" s="35">
        <v>2.0</v>
      </c>
      <c r="E14" s="36">
        <v>25.0</v>
      </c>
      <c r="F14" s="37">
        <v>4.0</v>
      </c>
      <c r="G14" s="37">
        <v>12.0</v>
      </c>
      <c r="H14" s="38">
        <f t="shared" si="1"/>
        <v>1200</v>
      </c>
    </row>
    <row r="15">
      <c r="A15" s="32" t="s">
        <v>58</v>
      </c>
      <c r="B15" s="33"/>
      <c r="C15" s="34">
        <v>46121.0</v>
      </c>
      <c r="D15" s="35">
        <v>2.0</v>
      </c>
      <c r="E15" s="36">
        <v>25.0</v>
      </c>
      <c r="F15" s="37">
        <v>4.0</v>
      </c>
      <c r="G15" s="37">
        <v>13.0</v>
      </c>
      <c r="H15" s="38">
        <f t="shared" si="1"/>
        <v>1300</v>
      </c>
    </row>
    <row r="16">
      <c r="A16" s="32" t="s">
        <v>58</v>
      </c>
      <c r="B16" s="33"/>
      <c r="C16" s="34">
        <v>46128.0</v>
      </c>
      <c r="D16" s="35">
        <v>2.0</v>
      </c>
      <c r="E16" s="36">
        <v>25.0</v>
      </c>
      <c r="F16" s="37">
        <v>4.0</v>
      </c>
      <c r="G16" s="37">
        <v>14.0</v>
      </c>
      <c r="H16" s="38">
        <f t="shared" si="1"/>
        <v>1400</v>
      </c>
    </row>
    <row r="17">
      <c r="A17" s="32" t="s">
        <v>58</v>
      </c>
      <c r="B17" s="33"/>
      <c r="C17" s="34">
        <v>46135.0</v>
      </c>
      <c r="D17" s="35">
        <v>2.0</v>
      </c>
      <c r="E17" s="36">
        <v>25.0</v>
      </c>
      <c r="F17" s="37">
        <v>4.0</v>
      </c>
      <c r="G17" s="37">
        <v>15.0</v>
      </c>
      <c r="H17" s="38">
        <f t="shared" si="1"/>
        <v>1500</v>
      </c>
    </row>
    <row r="22">
      <c r="I22" s="39" t="s">
        <v>54</v>
      </c>
      <c r="J22" s="40"/>
      <c r="K22" s="40"/>
      <c r="L22" s="40"/>
      <c r="M22" s="40"/>
      <c r="N22" s="40"/>
      <c r="O22" s="41"/>
    </row>
  </sheetData>
  <mergeCells count="2">
    <mergeCell ref="J7:P7"/>
    <mergeCell ref="I22:O22"/>
  </mergeCells>
  <hyperlinks>
    <hyperlink display="Week at a Glance" location="'Week At a Glance'!A2" ref="J7"/>
    <hyperlink display="Week at a Glance" location="'Week At a Glance'!A2" ref="I22"/>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23</v>
      </c>
      <c r="B2" s="33"/>
      <c r="C2" s="34">
        <v>46030.0</v>
      </c>
      <c r="D2" s="35">
        <v>2.0</v>
      </c>
      <c r="E2" s="36">
        <v>25.0</v>
      </c>
      <c r="F2" s="37">
        <v>2.0</v>
      </c>
      <c r="G2" s="37">
        <v>15.0</v>
      </c>
      <c r="H2" s="38">
        <f t="shared" ref="H2:H17" si="1">E2*F2*G2</f>
        <v>750</v>
      </c>
    </row>
    <row r="3">
      <c r="A3" s="32" t="s">
        <v>23</v>
      </c>
      <c r="B3" s="33"/>
      <c r="C3" s="34">
        <v>46037.0</v>
      </c>
      <c r="D3" s="35">
        <v>2.0</v>
      </c>
      <c r="E3" s="36">
        <v>25.0</v>
      </c>
      <c r="F3" s="37">
        <v>2.0</v>
      </c>
      <c r="G3" s="37">
        <v>17.0</v>
      </c>
      <c r="H3" s="38">
        <f t="shared" si="1"/>
        <v>850</v>
      </c>
    </row>
    <row r="4">
      <c r="A4" s="32" t="s">
        <v>23</v>
      </c>
      <c r="B4" s="33"/>
      <c r="C4" s="34">
        <v>46044.0</v>
      </c>
      <c r="D4" s="35">
        <v>2.0</v>
      </c>
      <c r="E4" s="36">
        <v>25.0</v>
      </c>
      <c r="F4" s="37">
        <v>2.0</v>
      </c>
      <c r="G4" s="37">
        <v>20.0</v>
      </c>
      <c r="H4" s="38">
        <f t="shared" si="1"/>
        <v>1000</v>
      </c>
    </row>
    <row r="5">
      <c r="A5" s="32" t="s">
        <v>23</v>
      </c>
      <c r="B5" s="33"/>
      <c r="C5" s="34">
        <v>46051.0</v>
      </c>
      <c r="D5" s="35">
        <v>2.0</v>
      </c>
      <c r="E5" s="36">
        <v>25.0</v>
      </c>
      <c r="F5" s="37">
        <v>2.0</v>
      </c>
      <c r="G5" s="37">
        <v>25.0</v>
      </c>
      <c r="H5" s="38">
        <f t="shared" si="1"/>
        <v>1250</v>
      </c>
    </row>
    <row r="6">
      <c r="A6" s="32" t="s">
        <v>23</v>
      </c>
      <c r="B6" s="33"/>
      <c r="C6" s="34">
        <v>46058.0</v>
      </c>
      <c r="D6" s="35">
        <v>2.0</v>
      </c>
      <c r="E6" s="36">
        <v>30.0</v>
      </c>
      <c r="F6" s="37">
        <v>2.0</v>
      </c>
      <c r="G6" s="37">
        <v>15.0</v>
      </c>
      <c r="H6" s="38">
        <f t="shared" si="1"/>
        <v>900</v>
      </c>
    </row>
    <row r="7">
      <c r="A7" s="32" t="s">
        <v>23</v>
      </c>
      <c r="B7" s="33"/>
      <c r="C7" s="34">
        <v>46065.0</v>
      </c>
      <c r="D7" s="35">
        <v>2.0</v>
      </c>
      <c r="E7" s="36">
        <v>30.0</v>
      </c>
      <c r="F7" s="37">
        <v>2.0</v>
      </c>
      <c r="G7" s="37">
        <v>17.0</v>
      </c>
      <c r="H7" s="38">
        <f t="shared" si="1"/>
        <v>1020</v>
      </c>
      <c r="J7" s="39" t="s">
        <v>54</v>
      </c>
      <c r="K7" s="40"/>
      <c r="L7" s="40"/>
      <c r="M7" s="40"/>
      <c r="N7" s="40"/>
      <c r="O7" s="40"/>
      <c r="P7" s="41"/>
    </row>
    <row r="8">
      <c r="A8" s="32" t="s">
        <v>23</v>
      </c>
      <c r="B8" s="33"/>
      <c r="C8" s="34">
        <v>46072.0</v>
      </c>
      <c r="D8" s="35">
        <v>2.0</v>
      </c>
      <c r="E8" s="36">
        <v>30.0</v>
      </c>
      <c r="F8" s="37">
        <v>2.0</v>
      </c>
      <c r="G8" s="37">
        <v>20.0</v>
      </c>
      <c r="H8" s="38">
        <f t="shared" si="1"/>
        <v>1200</v>
      </c>
    </row>
    <row r="9">
      <c r="A9" s="32" t="s">
        <v>23</v>
      </c>
      <c r="B9" s="33"/>
      <c r="C9" s="34">
        <v>46079.0</v>
      </c>
      <c r="D9" s="35">
        <v>2.0</v>
      </c>
      <c r="E9" s="36">
        <v>30.0</v>
      </c>
      <c r="F9" s="37">
        <v>2.0</v>
      </c>
      <c r="G9" s="37">
        <v>25.0</v>
      </c>
      <c r="H9" s="38">
        <f t="shared" si="1"/>
        <v>1500</v>
      </c>
    </row>
    <row r="10">
      <c r="A10" s="32" t="s">
        <v>23</v>
      </c>
      <c r="B10" s="33"/>
      <c r="C10" s="34">
        <v>46086.0</v>
      </c>
      <c r="D10" s="35">
        <v>2.0</v>
      </c>
      <c r="E10" s="36">
        <v>35.0</v>
      </c>
      <c r="F10" s="37">
        <v>2.0</v>
      </c>
      <c r="G10" s="37">
        <v>15.0</v>
      </c>
      <c r="H10" s="38">
        <f t="shared" si="1"/>
        <v>1050</v>
      </c>
    </row>
    <row r="11">
      <c r="A11" s="32" t="s">
        <v>23</v>
      </c>
      <c r="B11" s="33"/>
      <c r="C11" s="34">
        <v>46093.0</v>
      </c>
      <c r="D11" s="35">
        <v>2.0</v>
      </c>
      <c r="E11" s="36">
        <v>35.0</v>
      </c>
      <c r="F11" s="37">
        <v>2.0</v>
      </c>
      <c r="G11" s="37">
        <v>17.0</v>
      </c>
      <c r="H11" s="38">
        <f t="shared" si="1"/>
        <v>1190</v>
      </c>
    </row>
    <row r="12">
      <c r="A12" s="32" t="s">
        <v>23</v>
      </c>
      <c r="B12" s="33"/>
      <c r="C12" s="34">
        <v>46100.0</v>
      </c>
      <c r="D12" s="35">
        <v>2.0</v>
      </c>
      <c r="E12" s="36">
        <v>35.0</v>
      </c>
      <c r="F12" s="37">
        <v>2.0</v>
      </c>
      <c r="G12" s="37">
        <v>20.0</v>
      </c>
      <c r="H12" s="38">
        <f t="shared" si="1"/>
        <v>1400</v>
      </c>
    </row>
    <row r="13">
      <c r="A13" s="32" t="s">
        <v>23</v>
      </c>
      <c r="B13" s="33"/>
      <c r="C13" s="34">
        <v>46107.0</v>
      </c>
      <c r="D13" s="35">
        <v>2.0</v>
      </c>
      <c r="E13" s="36">
        <v>35.0</v>
      </c>
      <c r="F13" s="37">
        <v>2.0</v>
      </c>
      <c r="G13" s="37">
        <v>25.0</v>
      </c>
      <c r="H13" s="38">
        <f t="shared" si="1"/>
        <v>1750</v>
      </c>
    </row>
    <row r="14">
      <c r="A14" s="32" t="s">
        <v>23</v>
      </c>
      <c r="B14" s="33"/>
      <c r="C14" s="34">
        <v>46114.0</v>
      </c>
      <c r="D14" s="35">
        <v>2.0</v>
      </c>
      <c r="E14" s="36">
        <v>40.0</v>
      </c>
      <c r="F14" s="37">
        <v>2.0</v>
      </c>
      <c r="G14" s="37">
        <v>15.0</v>
      </c>
      <c r="H14" s="38">
        <f t="shared" si="1"/>
        <v>1200</v>
      </c>
    </row>
    <row r="15">
      <c r="A15" s="32" t="s">
        <v>23</v>
      </c>
      <c r="B15" s="33"/>
      <c r="C15" s="34">
        <v>46121.0</v>
      </c>
      <c r="D15" s="35">
        <v>2.0</v>
      </c>
      <c r="E15" s="36">
        <v>40.0</v>
      </c>
      <c r="F15" s="37">
        <v>2.0</v>
      </c>
      <c r="G15" s="37">
        <v>17.0</v>
      </c>
      <c r="H15" s="38">
        <f t="shared" si="1"/>
        <v>1360</v>
      </c>
    </row>
    <row r="16">
      <c r="A16" s="32" t="s">
        <v>23</v>
      </c>
      <c r="B16" s="33"/>
      <c r="C16" s="34">
        <v>46128.0</v>
      </c>
      <c r="D16" s="35">
        <v>2.0</v>
      </c>
      <c r="E16" s="36">
        <v>40.0</v>
      </c>
      <c r="F16" s="37">
        <v>2.0</v>
      </c>
      <c r="G16" s="37">
        <v>20.0</v>
      </c>
      <c r="H16" s="38">
        <f t="shared" si="1"/>
        <v>1600</v>
      </c>
    </row>
    <row r="17">
      <c r="A17" s="32" t="s">
        <v>23</v>
      </c>
      <c r="B17" s="33"/>
      <c r="C17" s="34">
        <v>46135.0</v>
      </c>
      <c r="D17" s="35">
        <v>2.0</v>
      </c>
      <c r="E17" s="36">
        <v>40.0</v>
      </c>
      <c r="F17" s="37">
        <v>2.0</v>
      </c>
      <c r="G17" s="37">
        <v>25.0</v>
      </c>
      <c r="H17" s="38">
        <f t="shared" si="1"/>
        <v>2000</v>
      </c>
    </row>
    <row r="22">
      <c r="I22" s="39" t="s">
        <v>54</v>
      </c>
      <c r="J22" s="40"/>
      <c r="K22" s="40"/>
      <c r="L22" s="40"/>
      <c r="M22" s="40"/>
      <c r="N22" s="40"/>
      <c r="O22" s="41"/>
    </row>
  </sheetData>
  <mergeCells count="2">
    <mergeCell ref="J7:P7"/>
    <mergeCell ref="I22:O22"/>
  </mergeCells>
  <hyperlinks>
    <hyperlink display="Week at a Glance" location="'Week At a Glance'!A2" ref="J7"/>
    <hyperlink display="Week at a Glance" location="'Week At a Glance'!A2" ref="I22"/>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43" t="s">
        <v>29</v>
      </c>
      <c r="B2" s="43"/>
      <c r="C2" s="44">
        <v>46030.0</v>
      </c>
      <c r="D2" s="43">
        <v>2.0</v>
      </c>
      <c r="E2" s="43">
        <v>25.0</v>
      </c>
      <c r="F2" s="43">
        <v>2.0</v>
      </c>
      <c r="G2" s="43">
        <v>15.0</v>
      </c>
      <c r="H2" s="43">
        <f t="shared" ref="H2:H17" si="1">E2*F2*G2</f>
        <v>750</v>
      </c>
    </row>
    <row r="3">
      <c r="A3" s="32" t="s">
        <v>29</v>
      </c>
      <c r="B3" s="33"/>
      <c r="C3" s="34">
        <v>46037.0</v>
      </c>
      <c r="D3" s="35">
        <v>2.0</v>
      </c>
      <c r="E3" s="36">
        <v>65.0</v>
      </c>
      <c r="F3" s="37">
        <v>2.0</v>
      </c>
      <c r="G3" s="37">
        <v>8.0</v>
      </c>
      <c r="H3" s="38">
        <f t="shared" si="1"/>
        <v>1040</v>
      </c>
    </row>
    <row r="4">
      <c r="A4" s="32" t="s">
        <v>29</v>
      </c>
      <c r="B4" s="33"/>
      <c r="C4" s="34">
        <v>46044.0</v>
      </c>
      <c r="D4" s="35">
        <v>2.0</v>
      </c>
      <c r="E4" s="36">
        <v>65.0</v>
      </c>
      <c r="F4" s="37">
        <v>2.0</v>
      </c>
      <c r="G4" s="37">
        <v>10.0</v>
      </c>
      <c r="H4" s="38">
        <f t="shared" si="1"/>
        <v>1300</v>
      </c>
    </row>
    <row r="5">
      <c r="A5" s="32" t="s">
        <v>29</v>
      </c>
      <c r="B5" s="33"/>
      <c r="C5" s="34">
        <v>46051.0</v>
      </c>
      <c r="D5" s="35">
        <v>2.0</v>
      </c>
      <c r="E5" s="36">
        <v>65.0</v>
      </c>
      <c r="F5" s="37">
        <v>2.0</v>
      </c>
      <c r="G5" s="37">
        <v>12.0</v>
      </c>
      <c r="H5" s="38">
        <f t="shared" si="1"/>
        <v>1560</v>
      </c>
    </row>
    <row r="6">
      <c r="A6" s="32" t="s">
        <v>29</v>
      </c>
      <c r="B6" s="33"/>
      <c r="C6" s="34">
        <v>46058.0</v>
      </c>
      <c r="D6" s="35">
        <v>2.0</v>
      </c>
      <c r="E6" s="36">
        <v>65.0</v>
      </c>
      <c r="F6" s="37">
        <v>2.0</v>
      </c>
      <c r="G6" s="37">
        <v>15.0</v>
      </c>
      <c r="H6" s="38">
        <f t="shared" si="1"/>
        <v>1950</v>
      </c>
    </row>
    <row r="7">
      <c r="A7" s="32" t="s">
        <v>29</v>
      </c>
      <c r="B7" s="33"/>
      <c r="C7" s="34">
        <v>46065.0</v>
      </c>
      <c r="D7" s="35">
        <v>2.0</v>
      </c>
      <c r="E7" s="36">
        <v>85.0</v>
      </c>
      <c r="F7" s="37">
        <v>2.0</v>
      </c>
      <c r="G7" s="37">
        <v>8.0</v>
      </c>
      <c r="H7" s="38">
        <f t="shared" si="1"/>
        <v>1360</v>
      </c>
      <c r="J7" s="39" t="s">
        <v>54</v>
      </c>
      <c r="K7" s="40"/>
      <c r="L7" s="40"/>
      <c r="M7" s="40"/>
      <c r="N7" s="40"/>
      <c r="O7" s="40"/>
      <c r="P7" s="41"/>
    </row>
    <row r="8">
      <c r="A8" s="32" t="s">
        <v>29</v>
      </c>
      <c r="B8" s="33"/>
      <c r="C8" s="34">
        <v>46072.0</v>
      </c>
      <c r="D8" s="35">
        <v>2.0</v>
      </c>
      <c r="E8" s="36">
        <v>85.0</v>
      </c>
      <c r="F8" s="37">
        <v>2.0</v>
      </c>
      <c r="G8" s="37">
        <v>10.0</v>
      </c>
      <c r="H8" s="38">
        <f t="shared" si="1"/>
        <v>1700</v>
      </c>
    </row>
    <row r="9">
      <c r="A9" s="32" t="s">
        <v>29</v>
      </c>
      <c r="B9" s="33"/>
      <c r="C9" s="34">
        <v>46079.0</v>
      </c>
      <c r="D9" s="35">
        <v>2.0</v>
      </c>
      <c r="E9" s="36">
        <v>85.0</v>
      </c>
      <c r="F9" s="37">
        <v>2.0</v>
      </c>
      <c r="G9" s="37">
        <v>12.0</v>
      </c>
      <c r="H9" s="38">
        <f t="shared" si="1"/>
        <v>2040</v>
      </c>
    </row>
    <row r="10">
      <c r="A10" s="32" t="s">
        <v>29</v>
      </c>
      <c r="B10" s="33"/>
      <c r="C10" s="34">
        <v>46086.0</v>
      </c>
      <c r="D10" s="35">
        <v>2.0</v>
      </c>
      <c r="E10" s="36">
        <v>85.0</v>
      </c>
      <c r="F10" s="37">
        <v>2.0</v>
      </c>
      <c r="G10" s="37">
        <v>15.0</v>
      </c>
      <c r="H10" s="38">
        <f t="shared" si="1"/>
        <v>2550</v>
      </c>
    </row>
    <row r="11">
      <c r="A11" s="32" t="s">
        <v>29</v>
      </c>
      <c r="B11" s="33"/>
      <c r="C11" s="34">
        <v>46093.0</v>
      </c>
      <c r="D11" s="35">
        <v>2.0</v>
      </c>
      <c r="E11" s="36">
        <v>105.0</v>
      </c>
      <c r="F11" s="37">
        <v>2.0</v>
      </c>
      <c r="G11" s="37">
        <v>8.0</v>
      </c>
      <c r="H11" s="38">
        <f t="shared" si="1"/>
        <v>1680</v>
      </c>
    </row>
    <row r="12">
      <c r="A12" s="32" t="s">
        <v>29</v>
      </c>
      <c r="B12" s="33"/>
      <c r="C12" s="34">
        <v>46100.0</v>
      </c>
      <c r="D12" s="35">
        <v>2.0</v>
      </c>
      <c r="E12" s="36">
        <v>105.0</v>
      </c>
      <c r="F12" s="37">
        <v>2.0</v>
      </c>
      <c r="G12" s="37">
        <v>10.0</v>
      </c>
      <c r="H12" s="38">
        <f t="shared" si="1"/>
        <v>2100</v>
      </c>
    </row>
    <row r="13">
      <c r="A13" s="32" t="s">
        <v>29</v>
      </c>
      <c r="B13" s="33"/>
      <c r="C13" s="34">
        <v>46107.0</v>
      </c>
      <c r="D13" s="35">
        <v>2.0</v>
      </c>
      <c r="E13" s="36">
        <v>105.0</v>
      </c>
      <c r="F13" s="37">
        <v>2.0</v>
      </c>
      <c r="G13" s="37">
        <v>12.0</v>
      </c>
      <c r="H13" s="38">
        <f t="shared" si="1"/>
        <v>2520</v>
      </c>
    </row>
    <row r="14">
      <c r="A14" s="32" t="s">
        <v>29</v>
      </c>
      <c r="B14" s="33"/>
      <c r="C14" s="34">
        <v>46114.0</v>
      </c>
      <c r="D14" s="35">
        <v>2.0</v>
      </c>
      <c r="E14" s="36">
        <v>105.0</v>
      </c>
      <c r="F14" s="37">
        <v>2.0</v>
      </c>
      <c r="G14" s="37">
        <v>15.0</v>
      </c>
      <c r="H14" s="38">
        <f t="shared" si="1"/>
        <v>3150</v>
      </c>
    </row>
    <row r="15">
      <c r="A15" s="32" t="s">
        <v>29</v>
      </c>
      <c r="B15" s="33"/>
      <c r="C15" s="34">
        <v>46121.0</v>
      </c>
      <c r="D15" s="35">
        <v>2.0</v>
      </c>
      <c r="E15" s="36">
        <v>115.0</v>
      </c>
      <c r="F15" s="37">
        <v>2.0</v>
      </c>
      <c r="G15" s="37">
        <v>8.0</v>
      </c>
      <c r="H15" s="38">
        <f t="shared" si="1"/>
        <v>1840</v>
      </c>
    </row>
    <row r="16">
      <c r="A16" s="32" t="s">
        <v>29</v>
      </c>
      <c r="B16" s="33"/>
      <c r="C16" s="34">
        <v>46128.0</v>
      </c>
      <c r="D16" s="35">
        <v>2.0</v>
      </c>
      <c r="E16" s="36">
        <v>115.0</v>
      </c>
      <c r="F16" s="37">
        <v>2.0</v>
      </c>
      <c r="G16" s="37">
        <v>10.0</v>
      </c>
      <c r="H16" s="38">
        <f t="shared" si="1"/>
        <v>2300</v>
      </c>
    </row>
    <row r="17">
      <c r="A17" s="32" t="s">
        <v>29</v>
      </c>
      <c r="B17" s="33"/>
      <c r="C17" s="34">
        <v>46135.0</v>
      </c>
      <c r="D17" s="35">
        <v>2.0</v>
      </c>
      <c r="E17" s="36">
        <v>115.0</v>
      </c>
      <c r="F17" s="37">
        <v>2.0</v>
      </c>
      <c r="G17" s="37">
        <v>12.0</v>
      </c>
      <c r="H17" s="38">
        <f t="shared" si="1"/>
        <v>2760</v>
      </c>
    </row>
    <row r="22">
      <c r="I22" s="39" t="s">
        <v>54</v>
      </c>
      <c r="J22" s="40"/>
      <c r="K22" s="40"/>
      <c r="L22" s="40"/>
      <c r="M22" s="40"/>
      <c r="N22" s="40"/>
      <c r="O22" s="41"/>
    </row>
  </sheetData>
  <mergeCells count="2">
    <mergeCell ref="J7:P7"/>
    <mergeCell ref="I22:O22"/>
  </mergeCells>
  <hyperlinks>
    <hyperlink display="Week at a Glance" location="'Week At a Glance'!A2" ref="J7"/>
    <hyperlink display="Week at a Glance" location="'Week At a Glance'!A2" ref="I22"/>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31</v>
      </c>
      <c r="B2" s="33"/>
      <c r="C2" s="34">
        <v>46026.0</v>
      </c>
      <c r="D2" s="35">
        <v>2.0</v>
      </c>
      <c r="E2" s="36">
        <v>35.0</v>
      </c>
      <c r="F2" s="37">
        <v>2.0</v>
      </c>
      <c r="G2" s="37">
        <v>10.0</v>
      </c>
      <c r="H2" s="38">
        <f t="shared" ref="H2:H17" si="1">E2*F2*G2</f>
        <v>700</v>
      </c>
    </row>
    <row r="3">
      <c r="A3" s="32" t="s">
        <v>31</v>
      </c>
      <c r="B3" s="33"/>
      <c r="C3" s="34">
        <v>46033.0</v>
      </c>
      <c r="D3" s="35">
        <v>2.0</v>
      </c>
      <c r="E3" s="36">
        <v>35.0</v>
      </c>
      <c r="F3" s="37">
        <v>2.0</v>
      </c>
      <c r="G3" s="37">
        <v>12.0</v>
      </c>
      <c r="H3" s="38">
        <f t="shared" si="1"/>
        <v>840</v>
      </c>
    </row>
    <row r="4">
      <c r="A4" s="32" t="s">
        <v>31</v>
      </c>
      <c r="B4" s="33"/>
      <c r="C4" s="34">
        <v>46040.0</v>
      </c>
      <c r="D4" s="35">
        <v>2.0</v>
      </c>
      <c r="E4" s="36">
        <v>35.0</v>
      </c>
      <c r="F4" s="37">
        <v>2.0</v>
      </c>
      <c r="G4" s="37">
        <v>15.0</v>
      </c>
      <c r="H4" s="38">
        <f t="shared" si="1"/>
        <v>1050</v>
      </c>
    </row>
    <row r="5">
      <c r="A5" s="32" t="s">
        <v>31</v>
      </c>
      <c r="B5" s="33"/>
      <c r="C5" s="34">
        <v>46047.0</v>
      </c>
      <c r="D5" s="35">
        <v>2.0</v>
      </c>
      <c r="E5" s="36">
        <v>40.0</v>
      </c>
      <c r="F5" s="37">
        <v>2.0</v>
      </c>
      <c r="G5" s="37">
        <v>10.0</v>
      </c>
      <c r="H5" s="38">
        <f t="shared" si="1"/>
        <v>800</v>
      </c>
    </row>
    <row r="6">
      <c r="A6" s="32" t="s">
        <v>31</v>
      </c>
      <c r="B6" s="33"/>
      <c r="C6" s="34">
        <v>46054.0</v>
      </c>
      <c r="D6" s="35">
        <v>2.0</v>
      </c>
      <c r="E6" s="36">
        <v>40.0</v>
      </c>
      <c r="F6" s="37">
        <v>2.0</v>
      </c>
      <c r="G6" s="37">
        <v>12.0</v>
      </c>
      <c r="H6" s="38">
        <f t="shared" si="1"/>
        <v>960</v>
      </c>
    </row>
    <row r="7">
      <c r="A7" s="32" t="s">
        <v>31</v>
      </c>
      <c r="B7" s="33"/>
      <c r="C7" s="34">
        <v>46061.0</v>
      </c>
      <c r="D7" s="35">
        <v>2.0</v>
      </c>
      <c r="E7" s="36">
        <v>40.0</v>
      </c>
      <c r="F7" s="37">
        <v>2.0</v>
      </c>
      <c r="G7" s="37">
        <v>15.0</v>
      </c>
      <c r="H7" s="38">
        <f t="shared" si="1"/>
        <v>1200</v>
      </c>
      <c r="J7" s="39" t="s">
        <v>54</v>
      </c>
      <c r="K7" s="40"/>
      <c r="L7" s="40"/>
      <c r="M7" s="40"/>
      <c r="N7" s="40"/>
      <c r="O7" s="40"/>
      <c r="P7" s="41"/>
    </row>
    <row r="8">
      <c r="A8" s="32" t="s">
        <v>31</v>
      </c>
      <c r="B8" s="33"/>
      <c r="C8" s="34">
        <v>46068.0</v>
      </c>
      <c r="D8" s="35">
        <v>2.0</v>
      </c>
      <c r="E8" s="36">
        <v>45.0</v>
      </c>
      <c r="F8" s="37">
        <v>2.0</v>
      </c>
      <c r="G8" s="37">
        <v>10.0</v>
      </c>
      <c r="H8" s="38">
        <f t="shared" si="1"/>
        <v>900</v>
      </c>
    </row>
    <row r="9">
      <c r="A9" s="32" t="s">
        <v>31</v>
      </c>
      <c r="B9" s="33"/>
      <c r="C9" s="34">
        <v>46075.0</v>
      </c>
      <c r="D9" s="35">
        <v>2.0</v>
      </c>
      <c r="E9" s="36">
        <v>45.0</v>
      </c>
      <c r="F9" s="37">
        <v>2.0</v>
      </c>
      <c r="G9" s="37">
        <v>12.0</v>
      </c>
      <c r="H9" s="38">
        <f t="shared" si="1"/>
        <v>1080</v>
      </c>
    </row>
    <row r="10">
      <c r="A10" s="32" t="s">
        <v>31</v>
      </c>
      <c r="B10" s="33"/>
      <c r="C10" s="34">
        <v>46082.0</v>
      </c>
      <c r="D10" s="35">
        <v>2.0</v>
      </c>
      <c r="E10" s="36">
        <v>45.0</v>
      </c>
      <c r="F10" s="37">
        <v>2.0</v>
      </c>
      <c r="G10" s="37">
        <v>15.0</v>
      </c>
      <c r="H10" s="38">
        <f t="shared" si="1"/>
        <v>1350</v>
      </c>
    </row>
    <row r="11">
      <c r="A11" s="32" t="s">
        <v>31</v>
      </c>
      <c r="B11" s="33"/>
      <c r="C11" s="34">
        <v>46089.0</v>
      </c>
      <c r="D11" s="35">
        <v>2.0</v>
      </c>
      <c r="E11" s="36">
        <v>50.0</v>
      </c>
      <c r="F11" s="37">
        <v>2.0</v>
      </c>
      <c r="G11" s="37">
        <v>10.0</v>
      </c>
      <c r="H11" s="38">
        <f t="shared" si="1"/>
        <v>1000</v>
      </c>
    </row>
    <row r="12">
      <c r="A12" s="32" t="s">
        <v>31</v>
      </c>
      <c r="B12" s="33"/>
      <c r="C12" s="34">
        <v>46096.0</v>
      </c>
      <c r="D12" s="35">
        <v>2.0</v>
      </c>
      <c r="E12" s="36">
        <v>50.0</v>
      </c>
      <c r="F12" s="37">
        <v>2.0</v>
      </c>
      <c r="G12" s="37">
        <v>12.0</v>
      </c>
      <c r="H12" s="38">
        <f t="shared" si="1"/>
        <v>1200</v>
      </c>
    </row>
    <row r="13">
      <c r="A13" s="32" t="s">
        <v>31</v>
      </c>
      <c r="B13" s="33"/>
      <c r="C13" s="34">
        <v>46103.0</v>
      </c>
      <c r="D13" s="35">
        <v>2.0</v>
      </c>
      <c r="E13" s="36">
        <v>50.0</v>
      </c>
      <c r="F13" s="37">
        <v>2.0</v>
      </c>
      <c r="G13" s="37">
        <v>15.0</v>
      </c>
      <c r="H13" s="38">
        <f t="shared" si="1"/>
        <v>1500</v>
      </c>
    </row>
    <row r="14">
      <c r="A14" s="32" t="s">
        <v>31</v>
      </c>
      <c r="B14" s="33"/>
      <c r="C14" s="34">
        <v>46110.0</v>
      </c>
      <c r="D14" s="35">
        <v>2.0</v>
      </c>
      <c r="E14" s="36">
        <v>55.0</v>
      </c>
      <c r="F14" s="37">
        <v>2.0</v>
      </c>
      <c r="G14" s="37">
        <v>10.0</v>
      </c>
      <c r="H14" s="38">
        <f t="shared" si="1"/>
        <v>1100</v>
      </c>
    </row>
    <row r="15">
      <c r="A15" s="32" t="s">
        <v>31</v>
      </c>
      <c r="B15" s="33"/>
      <c r="C15" s="34">
        <v>46117.0</v>
      </c>
      <c r="D15" s="35">
        <v>2.0</v>
      </c>
      <c r="E15" s="36">
        <v>55.0</v>
      </c>
      <c r="F15" s="37">
        <v>2.0</v>
      </c>
      <c r="G15" s="37">
        <v>12.0</v>
      </c>
      <c r="H15" s="38">
        <f t="shared" si="1"/>
        <v>1320</v>
      </c>
    </row>
    <row r="16">
      <c r="A16" s="32" t="s">
        <v>31</v>
      </c>
      <c r="B16" s="33"/>
      <c r="C16" s="34">
        <v>46124.0</v>
      </c>
      <c r="D16" s="35">
        <v>2.0</v>
      </c>
      <c r="E16" s="36">
        <v>55.0</v>
      </c>
      <c r="F16" s="37">
        <v>2.0</v>
      </c>
      <c r="G16" s="37">
        <v>15.0</v>
      </c>
      <c r="H16" s="38">
        <f t="shared" si="1"/>
        <v>1650</v>
      </c>
    </row>
    <row r="17">
      <c r="A17" s="32" t="s">
        <v>31</v>
      </c>
      <c r="B17" s="33"/>
      <c r="C17" s="34">
        <v>46131.0</v>
      </c>
      <c r="D17" s="35">
        <v>2.0</v>
      </c>
      <c r="E17" s="36">
        <v>60.0</v>
      </c>
      <c r="F17" s="37">
        <v>2.0</v>
      </c>
      <c r="G17" s="37">
        <v>10.0</v>
      </c>
      <c r="H17" s="38">
        <f t="shared" si="1"/>
        <v>1200</v>
      </c>
    </row>
    <row r="24">
      <c r="I24" s="39" t="s">
        <v>54</v>
      </c>
      <c r="J24" s="40"/>
      <c r="K24" s="40"/>
      <c r="L24" s="40"/>
      <c r="M24" s="40"/>
      <c r="N24" s="40"/>
      <c r="O24" s="41"/>
    </row>
  </sheetData>
  <mergeCells count="2">
    <mergeCell ref="J7:P7"/>
    <mergeCell ref="I24:O24"/>
  </mergeCells>
  <hyperlinks>
    <hyperlink display="Week at a Glance" location="'Week At a Glance'!A2" ref="J7"/>
    <hyperlink display="Week at a Glance" location="'Week At a Glance'!A2" ref="I24"/>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21</v>
      </c>
      <c r="B2" s="33" t="s">
        <v>59</v>
      </c>
      <c r="C2" s="34">
        <v>46027.0</v>
      </c>
      <c r="D2" s="35">
        <v>2.0</v>
      </c>
      <c r="E2" s="36">
        <v>5.0</v>
      </c>
      <c r="F2" s="37">
        <v>2.0</v>
      </c>
      <c r="G2" s="37">
        <v>15.0</v>
      </c>
      <c r="H2" s="38">
        <f t="shared" ref="H2:H17" si="1">E2*F2*G2</f>
        <v>150</v>
      </c>
    </row>
    <row r="3">
      <c r="A3" s="32" t="s">
        <v>21</v>
      </c>
      <c r="B3" s="33"/>
      <c r="C3" s="34">
        <v>46034.0</v>
      </c>
      <c r="D3" s="35">
        <v>2.0</v>
      </c>
      <c r="E3" s="36">
        <v>5.0</v>
      </c>
      <c r="F3" s="37">
        <v>2.0</v>
      </c>
      <c r="G3" s="37">
        <v>16.0</v>
      </c>
      <c r="H3" s="38">
        <f t="shared" si="1"/>
        <v>160</v>
      </c>
    </row>
    <row r="4">
      <c r="A4" s="32" t="s">
        <v>21</v>
      </c>
      <c r="B4" s="33"/>
      <c r="C4" s="34">
        <v>46041.0</v>
      </c>
      <c r="D4" s="35">
        <v>2.0</v>
      </c>
      <c r="E4" s="36">
        <v>5.0</v>
      </c>
      <c r="F4" s="37">
        <v>2.0</v>
      </c>
      <c r="G4" s="37">
        <v>17.0</v>
      </c>
      <c r="H4" s="38">
        <f t="shared" si="1"/>
        <v>170</v>
      </c>
    </row>
    <row r="5">
      <c r="A5" s="32" t="s">
        <v>21</v>
      </c>
      <c r="B5" s="33"/>
      <c r="C5" s="34">
        <v>46048.0</v>
      </c>
      <c r="D5" s="35">
        <v>2.0</v>
      </c>
      <c r="E5" s="36">
        <v>5.0</v>
      </c>
      <c r="F5" s="37">
        <v>2.0</v>
      </c>
      <c r="G5" s="37">
        <v>18.0</v>
      </c>
      <c r="H5" s="38">
        <f t="shared" si="1"/>
        <v>180</v>
      </c>
    </row>
    <row r="6">
      <c r="A6" s="32" t="s">
        <v>21</v>
      </c>
      <c r="B6" s="33"/>
      <c r="C6" s="34">
        <v>46055.0</v>
      </c>
      <c r="D6" s="35">
        <v>2.0</v>
      </c>
      <c r="E6" s="36">
        <v>5.0</v>
      </c>
      <c r="F6" s="37">
        <v>2.0</v>
      </c>
      <c r="G6" s="37">
        <v>20.0</v>
      </c>
      <c r="H6" s="38">
        <f t="shared" si="1"/>
        <v>200</v>
      </c>
    </row>
    <row r="7">
      <c r="A7" s="32" t="s">
        <v>21</v>
      </c>
      <c r="B7" s="33"/>
      <c r="C7" s="34">
        <v>46062.0</v>
      </c>
      <c r="D7" s="35">
        <v>2.0</v>
      </c>
      <c r="E7" s="36">
        <v>10.0</v>
      </c>
      <c r="F7" s="37">
        <v>2.0</v>
      </c>
      <c r="G7" s="37">
        <v>10.0</v>
      </c>
      <c r="H7" s="38">
        <f t="shared" si="1"/>
        <v>200</v>
      </c>
      <c r="J7" s="39" t="s">
        <v>54</v>
      </c>
      <c r="K7" s="40"/>
      <c r="L7" s="40"/>
      <c r="M7" s="40"/>
      <c r="N7" s="40"/>
      <c r="O7" s="40"/>
      <c r="P7" s="41"/>
    </row>
    <row r="8">
      <c r="A8" s="32" t="s">
        <v>21</v>
      </c>
      <c r="B8" s="33"/>
      <c r="C8" s="34">
        <v>46069.0</v>
      </c>
      <c r="D8" s="35">
        <v>2.0</v>
      </c>
      <c r="E8" s="36">
        <v>10.0</v>
      </c>
      <c r="F8" s="37">
        <v>2.0</v>
      </c>
      <c r="G8" s="37">
        <v>11.0</v>
      </c>
      <c r="H8" s="38">
        <f t="shared" si="1"/>
        <v>220</v>
      </c>
    </row>
    <row r="9">
      <c r="A9" s="32" t="s">
        <v>21</v>
      </c>
      <c r="B9" s="33"/>
      <c r="C9" s="34">
        <v>46076.0</v>
      </c>
      <c r="D9" s="35">
        <v>2.0</v>
      </c>
      <c r="E9" s="36">
        <v>10.0</v>
      </c>
      <c r="F9" s="37">
        <v>2.0</v>
      </c>
      <c r="G9" s="37">
        <v>12.0</v>
      </c>
      <c r="H9" s="38">
        <f t="shared" si="1"/>
        <v>240</v>
      </c>
    </row>
    <row r="10">
      <c r="A10" s="32" t="s">
        <v>21</v>
      </c>
      <c r="B10" s="33"/>
      <c r="C10" s="34">
        <v>46083.0</v>
      </c>
      <c r="D10" s="35">
        <v>2.0</v>
      </c>
      <c r="E10" s="36">
        <v>10.0</v>
      </c>
      <c r="F10" s="37">
        <v>2.0</v>
      </c>
      <c r="G10" s="37">
        <v>13.0</v>
      </c>
      <c r="H10" s="38">
        <f t="shared" si="1"/>
        <v>260</v>
      </c>
    </row>
    <row r="11">
      <c r="A11" s="32" t="s">
        <v>21</v>
      </c>
      <c r="B11" s="33"/>
      <c r="C11" s="34">
        <v>46090.0</v>
      </c>
      <c r="D11" s="35">
        <v>2.0</v>
      </c>
      <c r="E11" s="36">
        <v>10.0</v>
      </c>
      <c r="F11" s="37">
        <v>2.0</v>
      </c>
      <c r="G11" s="37">
        <v>14.0</v>
      </c>
      <c r="H11" s="38">
        <f t="shared" si="1"/>
        <v>280</v>
      </c>
    </row>
    <row r="12">
      <c r="A12" s="32" t="s">
        <v>21</v>
      </c>
      <c r="B12" s="33"/>
      <c r="C12" s="34">
        <v>46097.0</v>
      </c>
      <c r="D12" s="35">
        <v>2.0</v>
      </c>
      <c r="E12" s="36">
        <v>10.0</v>
      </c>
      <c r="F12" s="37">
        <v>2.0</v>
      </c>
      <c r="G12" s="37">
        <v>15.0</v>
      </c>
      <c r="H12" s="38">
        <f t="shared" si="1"/>
        <v>300</v>
      </c>
    </row>
    <row r="13">
      <c r="A13" s="32" t="s">
        <v>21</v>
      </c>
      <c r="B13" s="33"/>
      <c r="C13" s="34">
        <v>46104.0</v>
      </c>
      <c r="D13" s="35">
        <v>2.0</v>
      </c>
      <c r="E13" s="36">
        <v>10.0</v>
      </c>
      <c r="F13" s="37">
        <v>2.0</v>
      </c>
      <c r="G13" s="37">
        <v>16.0</v>
      </c>
      <c r="H13" s="38">
        <f t="shared" si="1"/>
        <v>320</v>
      </c>
    </row>
    <row r="14">
      <c r="A14" s="32" t="s">
        <v>21</v>
      </c>
      <c r="B14" s="33"/>
      <c r="C14" s="34">
        <v>46111.0</v>
      </c>
      <c r="D14" s="35">
        <v>2.0</v>
      </c>
      <c r="E14" s="36">
        <v>10.0</v>
      </c>
      <c r="F14" s="37">
        <v>2.0</v>
      </c>
      <c r="G14" s="37">
        <v>17.0</v>
      </c>
      <c r="H14" s="38">
        <f t="shared" si="1"/>
        <v>340</v>
      </c>
    </row>
    <row r="15">
      <c r="A15" s="32" t="s">
        <v>21</v>
      </c>
      <c r="B15" s="33"/>
      <c r="C15" s="34">
        <v>46118.0</v>
      </c>
      <c r="D15" s="35">
        <v>2.0</v>
      </c>
      <c r="E15" s="36">
        <v>10.0</v>
      </c>
      <c r="F15" s="37">
        <v>2.0</v>
      </c>
      <c r="G15" s="37">
        <v>18.0</v>
      </c>
      <c r="H15" s="38">
        <f t="shared" si="1"/>
        <v>360</v>
      </c>
    </row>
    <row r="16">
      <c r="A16" s="32" t="s">
        <v>21</v>
      </c>
      <c r="B16" s="33"/>
      <c r="C16" s="34">
        <v>46125.0</v>
      </c>
      <c r="D16" s="35">
        <v>2.0</v>
      </c>
      <c r="E16" s="36">
        <v>10.0</v>
      </c>
      <c r="F16" s="37">
        <v>2.0</v>
      </c>
      <c r="G16" s="37">
        <v>19.0</v>
      </c>
      <c r="H16" s="38">
        <f t="shared" si="1"/>
        <v>380</v>
      </c>
    </row>
    <row r="17">
      <c r="A17" s="32" t="s">
        <v>21</v>
      </c>
      <c r="B17" s="33"/>
      <c r="C17" s="34">
        <v>46132.0</v>
      </c>
      <c r="D17" s="35">
        <v>2.0</v>
      </c>
      <c r="E17" s="36">
        <v>10.0</v>
      </c>
      <c r="F17" s="37">
        <v>2.0</v>
      </c>
      <c r="G17" s="37">
        <v>20.0</v>
      </c>
      <c r="H17" s="38">
        <f t="shared" si="1"/>
        <v>400</v>
      </c>
    </row>
    <row r="23">
      <c r="I23" s="39" t="s">
        <v>54</v>
      </c>
      <c r="J23" s="40"/>
      <c r="K23" s="40"/>
      <c r="L23" s="40"/>
      <c r="M23" s="40"/>
      <c r="N23" s="40"/>
      <c r="O23" s="41"/>
    </row>
  </sheetData>
  <mergeCells count="2">
    <mergeCell ref="J7:P7"/>
    <mergeCell ref="I23:O23"/>
  </mergeCells>
  <hyperlinks>
    <hyperlink display="Week at a Glance" location="'Week At a Glance'!A2" ref="J7"/>
    <hyperlink display="Week at a Glance" location="'Week At a Glance'!A2" ref="I23"/>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30</v>
      </c>
      <c r="B2" s="33" t="s">
        <v>59</v>
      </c>
      <c r="C2" s="34">
        <v>46031.0</v>
      </c>
      <c r="D2" s="35">
        <v>2.0</v>
      </c>
      <c r="E2" s="36">
        <v>5.0</v>
      </c>
      <c r="F2" s="37">
        <v>2.0</v>
      </c>
      <c r="G2" s="37">
        <v>15.0</v>
      </c>
      <c r="H2" s="38">
        <f t="shared" ref="H2:H17" si="1">E2*F2*G2</f>
        <v>150</v>
      </c>
    </row>
    <row r="3">
      <c r="A3" s="32" t="s">
        <v>30</v>
      </c>
      <c r="B3" s="33"/>
      <c r="C3" s="34">
        <v>46038.0</v>
      </c>
      <c r="D3" s="35">
        <v>2.0</v>
      </c>
      <c r="E3" s="36">
        <v>5.0</v>
      </c>
      <c r="F3" s="37">
        <v>2.0</v>
      </c>
      <c r="G3" s="37">
        <v>16.0</v>
      </c>
      <c r="H3" s="38">
        <f t="shared" si="1"/>
        <v>160</v>
      </c>
    </row>
    <row r="4">
      <c r="A4" s="32" t="s">
        <v>30</v>
      </c>
      <c r="B4" s="33"/>
      <c r="C4" s="34">
        <v>46045.0</v>
      </c>
      <c r="D4" s="35">
        <v>2.0</v>
      </c>
      <c r="E4" s="36">
        <v>5.0</v>
      </c>
      <c r="F4" s="37">
        <v>2.0</v>
      </c>
      <c r="G4" s="37">
        <v>17.0</v>
      </c>
      <c r="H4" s="38">
        <f t="shared" si="1"/>
        <v>170</v>
      </c>
    </row>
    <row r="5">
      <c r="A5" s="32" t="s">
        <v>30</v>
      </c>
      <c r="B5" s="33"/>
      <c r="C5" s="34">
        <v>46052.0</v>
      </c>
      <c r="D5" s="35">
        <v>2.0</v>
      </c>
      <c r="E5" s="36">
        <v>5.0</v>
      </c>
      <c r="F5" s="37">
        <v>2.0</v>
      </c>
      <c r="G5" s="37">
        <v>18.0</v>
      </c>
      <c r="H5" s="38">
        <f t="shared" si="1"/>
        <v>180</v>
      </c>
    </row>
    <row r="6">
      <c r="A6" s="32" t="s">
        <v>30</v>
      </c>
      <c r="B6" s="33"/>
      <c r="C6" s="34">
        <v>46059.0</v>
      </c>
      <c r="D6" s="35">
        <v>2.0</v>
      </c>
      <c r="E6" s="36">
        <v>5.0</v>
      </c>
      <c r="F6" s="37">
        <v>2.0</v>
      </c>
      <c r="G6" s="37">
        <v>20.0</v>
      </c>
      <c r="H6" s="38">
        <f t="shared" si="1"/>
        <v>200</v>
      </c>
    </row>
    <row r="7">
      <c r="A7" s="32" t="s">
        <v>30</v>
      </c>
      <c r="B7" s="33"/>
      <c r="C7" s="34">
        <v>46066.0</v>
      </c>
      <c r="D7" s="35">
        <v>2.0</v>
      </c>
      <c r="E7" s="36">
        <v>10.0</v>
      </c>
      <c r="F7" s="37">
        <v>2.0</v>
      </c>
      <c r="G7" s="37">
        <v>10.0</v>
      </c>
      <c r="H7" s="38">
        <f t="shared" si="1"/>
        <v>200</v>
      </c>
      <c r="J7" s="39" t="s">
        <v>54</v>
      </c>
      <c r="K7" s="40"/>
      <c r="L7" s="40"/>
      <c r="M7" s="40"/>
      <c r="N7" s="40"/>
      <c r="O7" s="40"/>
      <c r="P7" s="41"/>
    </row>
    <row r="8">
      <c r="A8" s="32" t="s">
        <v>30</v>
      </c>
      <c r="B8" s="33"/>
      <c r="C8" s="34">
        <v>46073.0</v>
      </c>
      <c r="D8" s="35">
        <v>2.0</v>
      </c>
      <c r="E8" s="36">
        <v>10.0</v>
      </c>
      <c r="F8" s="37">
        <v>2.0</v>
      </c>
      <c r="G8" s="37">
        <v>11.0</v>
      </c>
      <c r="H8" s="38">
        <f t="shared" si="1"/>
        <v>220</v>
      </c>
    </row>
    <row r="9">
      <c r="A9" s="32" t="s">
        <v>30</v>
      </c>
      <c r="B9" s="33"/>
      <c r="C9" s="34">
        <v>46080.0</v>
      </c>
      <c r="D9" s="35">
        <v>2.0</v>
      </c>
      <c r="E9" s="36">
        <v>10.0</v>
      </c>
      <c r="F9" s="37">
        <v>2.0</v>
      </c>
      <c r="G9" s="37">
        <v>12.0</v>
      </c>
      <c r="H9" s="38">
        <f t="shared" si="1"/>
        <v>240</v>
      </c>
    </row>
    <row r="10">
      <c r="A10" s="32" t="s">
        <v>30</v>
      </c>
      <c r="B10" s="33"/>
      <c r="C10" s="34">
        <v>46087.0</v>
      </c>
      <c r="D10" s="35">
        <v>2.0</v>
      </c>
      <c r="E10" s="36">
        <v>10.0</v>
      </c>
      <c r="F10" s="37">
        <v>2.0</v>
      </c>
      <c r="G10" s="37">
        <v>13.0</v>
      </c>
      <c r="H10" s="38">
        <f t="shared" si="1"/>
        <v>260</v>
      </c>
    </row>
    <row r="11">
      <c r="A11" s="32" t="s">
        <v>30</v>
      </c>
      <c r="B11" s="33"/>
      <c r="C11" s="34">
        <v>46094.0</v>
      </c>
      <c r="D11" s="35">
        <v>2.0</v>
      </c>
      <c r="E11" s="36">
        <v>10.0</v>
      </c>
      <c r="F11" s="37">
        <v>2.0</v>
      </c>
      <c r="G11" s="37">
        <v>14.0</v>
      </c>
      <c r="H11" s="38">
        <f t="shared" si="1"/>
        <v>280</v>
      </c>
    </row>
    <row r="12">
      <c r="A12" s="32" t="s">
        <v>30</v>
      </c>
      <c r="B12" s="33"/>
      <c r="C12" s="34">
        <v>46101.0</v>
      </c>
      <c r="D12" s="35">
        <v>2.0</v>
      </c>
      <c r="E12" s="36">
        <v>10.0</v>
      </c>
      <c r="F12" s="37">
        <v>2.0</v>
      </c>
      <c r="G12" s="37">
        <v>15.0</v>
      </c>
      <c r="H12" s="38">
        <f t="shared" si="1"/>
        <v>300</v>
      </c>
    </row>
    <row r="13">
      <c r="A13" s="32" t="s">
        <v>30</v>
      </c>
      <c r="B13" s="33"/>
      <c r="C13" s="34">
        <v>46108.0</v>
      </c>
      <c r="D13" s="35">
        <v>2.0</v>
      </c>
      <c r="E13" s="36">
        <v>10.0</v>
      </c>
      <c r="F13" s="37">
        <v>2.0</v>
      </c>
      <c r="G13" s="37">
        <v>16.0</v>
      </c>
      <c r="H13" s="38">
        <f t="shared" si="1"/>
        <v>320</v>
      </c>
    </row>
    <row r="14">
      <c r="A14" s="32" t="s">
        <v>30</v>
      </c>
      <c r="B14" s="33"/>
      <c r="C14" s="34">
        <v>46115.0</v>
      </c>
      <c r="D14" s="35">
        <v>2.0</v>
      </c>
      <c r="E14" s="36">
        <v>10.0</v>
      </c>
      <c r="F14" s="37">
        <v>2.0</v>
      </c>
      <c r="G14" s="37">
        <v>17.0</v>
      </c>
      <c r="H14" s="38">
        <f t="shared" si="1"/>
        <v>340</v>
      </c>
    </row>
    <row r="15">
      <c r="A15" s="32" t="s">
        <v>30</v>
      </c>
      <c r="B15" s="33"/>
      <c r="C15" s="34">
        <v>46122.0</v>
      </c>
      <c r="D15" s="35">
        <v>2.0</v>
      </c>
      <c r="E15" s="36">
        <v>10.0</v>
      </c>
      <c r="F15" s="37">
        <v>2.0</v>
      </c>
      <c r="G15" s="37">
        <v>18.0</v>
      </c>
      <c r="H15" s="38">
        <f t="shared" si="1"/>
        <v>360</v>
      </c>
    </row>
    <row r="16">
      <c r="A16" s="32" t="s">
        <v>30</v>
      </c>
      <c r="B16" s="33"/>
      <c r="C16" s="34">
        <v>46129.0</v>
      </c>
      <c r="D16" s="35">
        <v>2.0</v>
      </c>
      <c r="E16" s="36">
        <v>10.0</v>
      </c>
      <c r="F16" s="37">
        <v>2.0</v>
      </c>
      <c r="G16" s="37">
        <v>19.0</v>
      </c>
      <c r="H16" s="38">
        <f t="shared" si="1"/>
        <v>380</v>
      </c>
    </row>
    <row r="17">
      <c r="A17" s="32" t="s">
        <v>30</v>
      </c>
      <c r="B17" s="33"/>
      <c r="C17" s="34">
        <v>46136.0</v>
      </c>
      <c r="D17" s="35">
        <v>2.0</v>
      </c>
      <c r="E17" s="36">
        <v>10.0</v>
      </c>
      <c r="F17" s="37">
        <v>2.0</v>
      </c>
      <c r="G17" s="37">
        <v>20.0</v>
      </c>
      <c r="H17" s="38">
        <f t="shared" si="1"/>
        <v>400</v>
      </c>
    </row>
    <row r="23">
      <c r="I23" s="39" t="s">
        <v>54</v>
      </c>
      <c r="J23" s="40"/>
      <c r="K23" s="40"/>
      <c r="L23" s="40"/>
      <c r="M23" s="40"/>
      <c r="N23" s="40"/>
      <c r="O23" s="41"/>
    </row>
  </sheetData>
  <mergeCells count="2">
    <mergeCell ref="J7:P7"/>
    <mergeCell ref="I23:O23"/>
  </mergeCells>
  <hyperlinks>
    <hyperlink display="Week at a Glance" location="'Week At a Glance'!A2" ref="J7"/>
    <hyperlink display="Week at a Glance" location="'Week At a Glance'!A2" ref="I23"/>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30" t="s">
        <v>45</v>
      </c>
      <c r="B1" s="30" t="s">
        <v>46</v>
      </c>
      <c r="C1" s="30" t="s">
        <v>47</v>
      </c>
      <c r="D1" s="30" t="s">
        <v>48</v>
      </c>
      <c r="E1" s="30" t="s">
        <v>49</v>
      </c>
      <c r="F1" s="30" t="s">
        <v>50</v>
      </c>
      <c r="G1" s="30" t="s">
        <v>51</v>
      </c>
      <c r="H1" s="31" t="s">
        <v>52</v>
      </c>
    </row>
    <row r="2">
      <c r="A2" s="32" t="s">
        <v>60</v>
      </c>
      <c r="B2" s="33"/>
      <c r="C2" s="34">
        <v>46027.0</v>
      </c>
      <c r="D2" s="35">
        <v>2.0</v>
      </c>
      <c r="E2" s="36">
        <v>45.0</v>
      </c>
      <c r="F2" s="37">
        <v>3.0</v>
      </c>
      <c r="G2" s="37">
        <v>8.0</v>
      </c>
      <c r="H2" s="38">
        <f t="shared" ref="H2:H17" si="1">E2*F2*G2</f>
        <v>1080</v>
      </c>
    </row>
    <row r="3">
      <c r="A3" s="32" t="s">
        <v>61</v>
      </c>
      <c r="B3" s="33"/>
      <c r="C3" s="34">
        <v>46034.0</v>
      </c>
      <c r="D3" s="35">
        <v>2.0</v>
      </c>
      <c r="E3" s="36">
        <v>45.0</v>
      </c>
      <c r="F3" s="37">
        <v>3.0</v>
      </c>
      <c r="G3" s="37">
        <v>10.0</v>
      </c>
      <c r="H3" s="38">
        <f t="shared" si="1"/>
        <v>1350</v>
      </c>
    </row>
    <row r="4">
      <c r="A4" s="32" t="s">
        <v>61</v>
      </c>
      <c r="B4" s="33"/>
      <c r="C4" s="34">
        <v>46041.0</v>
      </c>
      <c r="D4" s="35">
        <v>2.0</v>
      </c>
      <c r="E4" s="36">
        <v>45.0</v>
      </c>
      <c r="F4" s="37">
        <v>3.0</v>
      </c>
      <c r="G4" s="37">
        <v>12.0</v>
      </c>
      <c r="H4" s="38">
        <f t="shared" si="1"/>
        <v>1620</v>
      </c>
    </row>
    <row r="5">
      <c r="A5" s="32" t="s">
        <v>61</v>
      </c>
      <c r="B5" s="33"/>
      <c r="C5" s="34">
        <v>46048.0</v>
      </c>
      <c r="D5" s="35">
        <v>2.0</v>
      </c>
      <c r="E5" s="36">
        <v>45.0</v>
      </c>
      <c r="F5" s="37">
        <v>3.0</v>
      </c>
      <c r="G5" s="37">
        <v>15.0</v>
      </c>
      <c r="H5" s="38">
        <f t="shared" si="1"/>
        <v>2025</v>
      </c>
    </row>
    <row r="6">
      <c r="A6" s="32" t="s">
        <v>61</v>
      </c>
      <c r="B6" s="33"/>
      <c r="C6" s="34">
        <v>46055.0</v>
      </c>
      <c r="D6" s="35">
        <v>2.0</v>
      </c>
      <c r="E6" s="36">
        <v>55.0</v>
      </c>
      <c r="F6" s="37">
        <v>3.0</v>
      </c>
      <c r="G6" s="37">
        <v>8.0</v>
      </c>
      <c r="H6" s="38">
        <f t="shared" si="1"/>
        <v>1320</v>
      </c>
    </row>
    <row r="7">
      <c r="A7" s="32" t="s">
        <v>61</v>
      </c>
      <c r="B7" s="33"/>
      <c r="C7" s="34">
        <v>46062.0</v>
      </c>
      <c r="D7" s="35">
        <v>2.0</v>
      </c>
      <c r="E7" s="36">
        <v>55.0</v>
      </c>
      <c r="F7" s="37">
        <v>3.0</v>
      </c>
      <c r="G7" s="37">
        <v>10.0</v>
      </c>
      <c r="H7" s="38">
        <f t="shared" si="1"/>
        <v>1650</v>
      </c>
      <c r="J7" s="39" t="s">
        <v>54</v>
      </c>
      <c r="K7" s="40"/>
      <c r="L7" s="40"/>
      <c r="M7" s="40"/>
      <c r="N7" s="40"/>
      <c r="O7" s="40"/>
      <c r="P7" s="41"/>
    </row>
    <row r="8">
      <c r="A8" s="32" t="s">
        <v>61</v>
      </c>
      <c r="B8" s="33"/>
      <c r="C8" s="34">
        <v>46069.0</v>
      </c>
      <c r="D8" s="35">
        <v>2.0</v>
      </c>
      <c r="E8" s="36">
        <v>55.0</v>
      </c>
      <c r="F8" s="37">
        <v>3.0</v>
      </c>
      <c r="G8" s="37">
        <v>12.0</v>
      </c>
      <c r="H8" s="38">
        <f t="shared" si="1"/>
        <v>1980</v>
      </c>
    </row>
    <row r="9">
      <c r="A9" s="32" t="s">
        <v>61</v>
      </c>
      <c r="B9" s="33"/>
      <c r="C9" s="34">
        <v>46076.0</v>
      </c>
      <c r="D9" s="35">
        <v>2.0</v>
      </c>
      <c r="E9" s="36">
        <v>55.0</v>
      </c>
      <c r="F9" s="37">
        <v>3.0</v>
      </c>
      <c r="G9" s="37">
        <v>15.0</v>
      </c>
      <c r="H9" s="38">
        <f t="shared" si="1"/>
        <v>2475</v>
      </c>
    </row>
    <row r="10">
      <c r="A10" s="32" t="s">
        <v>61</v>
      </c>
      <c r="B10" s="33"/>
      <c r="C10" s="34">
        <v>46083.0</v>
      </c>
      <c r="D10" s="35">
        <v>2.0</v>
      </c>
      <c r="E10" s="36">
        <v>65.0</v>
      </c>
      <c r="F10" s="37">
        <v>3.0</v>
      </c>
      <c r="G10" s="37">
        <v>8.0</v>
      </c>
      <c r="H10" s="38">
        <f t="shared" si="1"/>
        <v>1560</v>
      </c>
    </row>
    <row r="11">
      <c r="A11" s="32" t="s">
        <v>61</v>
      </c>
      <c r="B11" s="33"/>
      <c r="C11" s="34">
        <v>46090.0</v>
      </c>
      <c r="D11" s="35">
        <v>2.0</v>
      </c>
      <c r="E11" s="36">
        <v>65.0</v>
      </c>
      <c r="F11" s="37">
        <v>3.0</v>
      </c>
      <c r="G11" s="37">
        <v>10.0</v>
      </c>
      <c r="H11" s="38">
        <f t="shared" si="1"/>
        <v>1950</v>
      </c>
    </row>
    <row r="12">
      <c r="A12" s="32" t="s">
        <v>61</v>
      </c>
      <c r="B12" s="33"/>
      <c r="C12" s="34">
        <v>46097.0</v>
      </c>
      <c r="D12" s="35">
        <v>2.0</v>
      </c>
      <c r="E12" s="36">
        <v>65.0</v>
      </c>
      <c r="F12" s="37">
        <v>3.0</v>
      </c>
      <c r="G12" s="37">
        <v>12.0</v>
      </c>
      <c r="H12" s="38">
        <f t="shared" si="1"/>
        <v>2340</v>
      </c>
    </row>
    <row r="13">
      <c r="A13" s="32" t="s">
        <v>61</v>
      </c>
      <c r="B13" s="33"/>
      <c r="C13" s="34">
        <v>46104.0</v>
      </c>
      <c r="D13" s="35">
        <v>2.0</v>
      </c>
      <c r="E13" s="36">
        <v>65.0</v>
      </c>
      <c r="F13" s="37">
        <v>3.0</v>
      </c>
      <c r="G13" s="37">
        <v>15.0</v>
      </c>
      <c r="H13" s="38">
        <f t="shared" si="1"/>
        <v>2925</v>
      </c>
    </row>
    <row r="14">
      <c r="A14" s="32" t="s">
        <v>61</v>
      </c>
      <c r="B14" s="33"/>
      <c r="C14" s="34">
        <v>46111.0</v>
      </c>
      <c r="D14" s="35">
        <v>2.0</v>
      </c>
      <c r="E14" s="36">
        <v>75.0</v>
      </c>
      <c r="F14" s="37">
        <v>3.0</v>
      </c>
      <c r="G14" s="37">
        <v>8.0</v>
      </c>
      <c r="H14" s="38">
        <f t="shared" si="1"/>
        <v>1800</v>
      </c>
      <c r="J14" s="39" t="s">
        <v>54</v>
      </c>
      <c r="K14" s="40"/>
      <c r="L14" s="40"/>
      <c r="M14" s="40"/>
      <c r="N14" s="40"/>
      <c r="O14" s="40"/>
      <c r="P14" s="41"/>
    </row>
    <row r="15">
      <c r="A15" s="32" t="s">
        <v>61</v>
      </c>
      <c r="B15" s="33"/>
      <c r="C15" s="34">
        <v>46118.0</v>
      </c>
      <c r="D15" s="35">
        <v>2.0</v>
      </c>
      <c r="E15" s="36">
        <v>75.0</v>
      </c>
      <c r="F15" s="37">
        <v>3.0</v>
      </c>
      <c r="G15" s="37">
        <v>10.0</v>
      </c>
      <c r="H15" s="38">
        <f t="shared" si="1"/>
        <v>2250</v>
      </c>
    </row>
    <row r="16">
      <c r="A16" s="32" t="s">
        <v>61</v>
      </c>
      <c r="B16" s="33"/>
      <c r="C16" s="34">
        <v>46125.0</v>
      </c>
      <c r="D16" s="35">
        <v>2.0</v>
      </c>
      <c r="E16" s="36">
        <v>75.0</v>
      </c>
      <c r="F16" s="37">
        <v>3.0</v>
      </c>
      <c r="G16" s="37">
        <v>12.0</v>
      </c>
      <c r="H16" s="38">
        <f t="shared" si="1"/>
        <v>2700</v>
      </c>
    </row>
    <row r="17">
      <c r="A17" s="32" t="s">
        <v>61</v>
      </c>
      <c r="B17" s="33"/>
      <c r="C17" s="34">
        <v>46132.0</v>
      </c>
      <c r="D17" s="35">
        <v>2.0</v>
      </c>
      <c r="E17" s="36">
        <v>75.0</v>
      </c>
      <c r="F17" s="37">
        <v>3.0</v>
      </c>
      <c r="G17" s="37">
        <v>15.0</v>
      </c>
      <c r="H17" s="38">
        <f t="shared" si="1"/>
        <v>3375</v>
      </c>
    </row>
  </sheetData>
  <mergeCells count="2">
    <mergeCell ref="J7:P7"/>
    <mergeCell ref="J14:P14"/>
  </mergeCells>
  <hyperlinks>
    <hyperlink display="Week at a Glance" location="'Week At a Glance'!A2" ref="J7"/>
    <hyperlink display="Week at a Glance" location="'Week At a Glance'!A2" ref="J14"/>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13</v>
      </c>
      <c r="B2" s="33" t="s">
        <v>62</v>
      </c>
      <c r="C2" s="34">
        <v>46028.0</v>
      </c>
      <c r="D2" s="35">
        <v>2.0</v>
      </c>
      <c r="E2" s="36">
        <v>95.0</v>
      </c>
      <c r="F2" s="37">
        <v>3.0</v>
      </c>
      <c r="G2" s="37">
        <v>8.0</v>
      </c>
      <c r="H2" s="38">
        <f t="shared" ref="H2:H17" si="1">E2*F2*G2</f>
        <v>2280</v>
      </c>
    </row>
    <row r="3">
      <c r="A3" s="32" t="s">
        <v>13</v>
      </c>
      <c r="B3" s="33"/>
      <c r="C3" s="34">
        <v>46035.0</v>
      </c>
      <c r="D3" s="35">
        <v>2.0</v>
      </c>
      <c r="E3" s="36">
        <v>95.0</v>
      </c>
      <c r="F3" s="37">
        <v>3.0</v>
      </c>
      <c r="G3" s="37">
        <v>10.0</v>
      </c>
      <c r="H3" s="38">
        <f t="shared" si="1"/>
        <v>2850</v>
      </c>
    </row>
    <row r="4">
      <c r="A4" s="32" t="s">
        <v>13</v>
      </c>
      <c r="B4" s="33"/>
      <c r="C4" s="34">
        <v>46042.0</v>
      </c>
      <c r="D4" s="35">
        <v>2.0</v>
      </c>
      <c r="E4" s="36">
        <v>95.0</v>
      </c>
      <c r="F4" s="37">
        <v>3.0</v>
      </c>
      <c r="G4" s="37">
        <v>12.0</v>
      </c>
      <c r="H4" s="38">
        <f t="shared" si="1"/>
        <v>3420</v>
      </c>
    </row>
    <row r="5">
      <c r="A5" s="32" t="s">
        <v>13</v>
      </c>
      <c r="B5" s="33"/>
      <c r="C5" s="34">
        <v>46049.0</v>
      </c>
      <c r="D5" s="35">
        <v>2.0</v>
      </c>
      <c r="E5" s="36">
        <v>105.0</v>
      </c>
      <c r="F5" s="37">
        <v>3.0</v>
      </c>
      <c r="G5" s="37">
        <v>8.0</v>
      </c>
      <c r="H5" s="38">
        <f t="shared" si="1"/>
        <v>2520</v>
      </c>
    </row>
    <row r="6">
      <c r="A6" s="32" t="s">
        <v>13</v>
      </c>
      <c r="B6" s="33"/>
      <c r="C6" s="34">
        <v>46056.0</v>
      </c>
      <c r="D6" s="35">
        <v>2.0</v>
      </c>
      <c r="E6" s="36">
        <v>105.0</v>
      </c>
      <c r="F6" s="37">
        <v>3.0</v>
      </c>
      <c r="G6" s="37">
        <v>10.0</v>
      </c>
      <c r="H6" s="38">
        <f t="shared" si="1"/>
        <v>3150</v>
      </c>
    </row>
    <row r="7">
      <c r="A7" s="32" t="s">
        <v>13</v>
      </c>
      <c r="B7" s="33"/>
      <c r="C7" s="34">
        <v>46063.0</v>
      </c>
      <c r="D7" s="35">
        <v>2.0</v>
      </c>
      <c r="E7" s="36">
        <v>105.0</v>
      </c>
      <c r="F7" s="37">
        <v>3.0</v>
      </c>
      <c r="G7" s="37">
        <v>12.0</v>
      </c>
      <c r="H7" s="38">
        <f t="shared" si="1"/>
        <v>3780</v>
      </c>
      <c r="J7" s="39" t="s">
        <v>54</v>
      </c>
      <c r="K7" s="40"/>
      <c r="L7" s="40"/>
      <c r="M7" s="40"/>
      <c r="N7" s="40"/>
      <c r="O7" s="40"/>
      <c r="P7" s="41"/>
    </row>
    <row r="8">
      <c r="A8" s="32" t="s">
        <v>13</v>
      </c>
      <c r="B8" s="33"/>
      <c r="C8" s="34">
        <v>46070.0</v>
      </c>
      <c r="D8" s="35">
        <v>2.0</v>
      </c>
      <c r="E8" s="36">
        <v>115.0</v>
      </c>
      <c r="F8" s="37">
        <v>3.0</v>
      </c>
      <c r="G8" s="37">
        <v>8.0</v>
      </c>
      <c r="H8" s="38">
        <f t="shared" si="1"/>
        <v>2760</v>
      </c>
    </row>
    <row r="9">
      <c r="A9" s="32" t="s">
        <v>13</v>
      </c>
      <c r="B9" s="33"/>
      <c r="C9" s="34">
        <v>46077.0</v>
      </c>
      <c r="D9" s="35">
        <v>2.0</v>
      </c>
      <c r="E9" s="36">
        <v>115.0</v>
      </c>
      <c r="F9" s="37">
        <v>3.0</v>
      </c>
      <c r="G9" s="37">
        <v>10.0</v>
      </c>
      <c r="H9" s="38">
        <f t="shared" si="1"/>
        <v>3450</v>
      </c>
    </row>
    <row r="10">
      <c r="A10" s="32" t="s">
        <v>13</v>
      </c>
      <c r="B10" s="33"/>
      <c r="C10" s="34">
        <v>46084.0</v>
      </c>
      <c r="D10" s="35">
        <v>2.0</v>
      </c>
      <c r="E10" s="36">
        <v>115.0</v>
      </c>
      <c r="F10" s="37">
        <v>3.0</v>
      </c>
      <c r="G10" s="37">
        <v>12.0</v>
      </c>
      <c r="H10" s="38">
        <f t="shared" si="1"/>
        <v>4140</v>
      </c>
    </row>
    <row r="11">
      <c r="A11" s="32" t="s">
        <v>13</v>
      </c>
      <c r="B11" s="33"/>
      <c r="C11" s="34">
        <v>46091.0</v>
      </c>
      <c r="D11" s="35">
        <v>2.0</v>
      </c>
      <c r="E11" s="36">
        <v>125.0</v>
      </c>
      <c r="F11" s="37">
        <v>3.0</v>
      </c>
      <c r="G11" s="37">
        <v>8.0</v>
      </c>
      <c r="H11" s="38">
        <f t="shared" si="1"/>
        <v>3000</v>
      </c>
    </row>
    <row r="12">
      <c r="A12" s="32" t="s">
        <v>13</v>
      </c>
      <c r="B12" s="33"/>
      <c r="C12" s="34">
        <v>46098.0</v>
      </c>
      <c r="D12" s="35">
        <v>2.0</v>
      </c>
      <c r="E12" s="36">
        <v>125.0</v>
      </c>
      <c r="F12" s="37">
        <v>3.0</v>
      </c>
      <c r="G12" s="37">
        <v>10.0</v>
      </c>
      <c r="H12" s="38">
        <f t="shared" si="1"/>
        <v>3750</v>
      </c>
    </row>
    <row r="13">
      <c r="A13" s="32" t="s">
        <v>13</v>
      </c>
      <c r="B13" s="33"/>
      <c r="C13" s="34">
        <v>46105.0</v>
      </c>
      <c r="D13" s="35">
        <v>2.0</v>
      </c>
      <c r="E13" s="36">
        <v>125.0</v>
      </c>
      <c r="F13" s="37">
        <v>3.0</v>
      </c>
      <c r="G13" s="37">
        <v>12.0</v>
      </c>
      <c r="H13" s="38">
        <f t="shared" si="1"/>
        <v>4500</v>
      </c>
    </row>
    <row r="14">
      <c r="A14" s="32" t="s">
        <v>13</v>
      </c>
      <c r="B14" s="33"/>
      <c r="C14" s="34">
        <v>46112.0</v>
      </c>
      <c r="D14" s="35">
        <v>2.0</v>
      </c>
      <c r="E14" s="36">
        <v>135.0</v>
      </c>
      <c r="F14" s="37">
        <v>3.0</v>
      </c>
      <c r="G14" s="37">
        <v>8.0</v>
      </c>
      <c r="H14" s="38">
        <f t="shared" si="1"/>
        <v>3240</v>
      </c>
    </row>
    <row r="15">
      <c r="A15" s="32" t="s">
        <v>13</v>
      </c>
      <c r="B15" s="33"/>
      <c r="C15" s="34">
        <v>46119.0</v>
      </c>
      <c r="D15" s="35">
        <v>2.0</v>
      </c>
      <c r="E15" s="36">
        <v>135.0</v>
      </c>
      <c r="F15" s="37">
        <v>3.0</v>
      </c>
      <c r="G15" s="37">
        <v>10.0</v>
      </c>
      <c r="H15" s="38">
        <f t="shared" si="1"/>
        <v>4050</v>
      </c>
    </row>
    <row r="16">
      <c r="A16" s="32" t="s">
        <v>13</v>
      </c>
      <c r="B16" s="33"/>
      <c r="C16" s="34">
        <v>46126.0</v>
      </c>
      <c r="D16" s="35">
        <v>2.0</v>
      </c>
      <c r="E16" s="36">
        <v>135.0</v>
      </c>
      <c r="F16" s="37">
        <v>3.0</v>
      </c>
      <c r="G16" s="37">
        <v>12.0</v>
      </c>
      <c r="H16" s="38">
        <f t="shared" si="1"/>
        <v>4860</v>
      </c>
    </row>
    <row r="17">
      <c r="A17" s="32" t="s">
        <v>13</v>
      </c>
      <c r="B17" s="33"/>
      <c r="C17" s="34">
        <v>46133.0</v>
      </c>
      <c r="D17" s="35">
        <v>2.0</v>
      </c>
      <c r="E17" s="36">
        <v>145.0</v>
      </c>
      <c r="F17" s="37">
        <v>3.0</v>
      </c>
      <c r="G17" s="37">
        <v>8.0</v>
      </c>
      <c r="H17" s="38">
        <f t="shared" si="1"/>
        <v>3480</v>
      </c>
    </row>
    <row r="24">
      <c r="J24" s="39" t="s">
        <v>54</v>
      </c>
      <c r="K24" s="40"/>
      <c r="L24" s="40"/>
      <c r="M24" s="40"/>
      <c r="N24" s="40"/>
      <c r="O24" s="40"/>
      <c r="P24" s="41"/>
    </row>
  </sheetData>
  <mergeCells count="2">
    <mergeCell ref="J7:P7"/>
    <mergeCell ref="J24:P24"/>
  </mergeCells>
  <hyperlinks>
    <hyperlink display="Week at a Glance" location="'Week At a Glance'!A2" ref="J7"/>
    <hyperlink display="Week at a Glance" location="'Week At a Glance'!A2" ref="J24"/>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28</v>
      </c>
      <c r="B2" s="33" t="s">
        <v>63</v>
      </c>
      <c r="C2" s="34">
        <v>46028.0</v>
      </c>
      <c r="D2" s="35">
        <v>2.0</v>
      </c>
      <c r="E2" s="36">
        <v>15.0</v>
      </c>
      <c r="F2" s="37">
        <v>2.0</v>
      </c>
      <c r="G2" s="37">
        <v>15.0</v>
      </c>
      <c r="H2" s="38">
        <f t="shared" ref="H2:H17" si="1">E2*F2*G2</f>
        <v>450</v>
      </c>
    </row>
    <row r="3">
      <c r="A3" s="32" t="s">
        <v>28</v>
      </c>
      <c r="B3" s="33" t="s">
        <v>64</v>
      </c>
      <c r="C3" s="34">
        <v>46035.0</v>
      </c>
      <c r="D3" s="35">
        <v>2.0</v>
      </c>
      <c r="E3" s="36">
        <v>15.0</v>
      </c>
      <c r="F3" s="37">
        <v>2.0</v>
      </c>
      <c r="G3" s="37">
        <v>15.0</v>
      </c>
      <c r="H3" s="38">
        <f t="shared" si="1"/>
        <v>450</v>
      </c>
    </row>
    <row r="4">
      <c r="A4" s="32" t="s">
        <v>28</v>
      </c>
      <c r="B4" s="33"/>
      <c r="C4" s="34">
        <v>46042.0</v>
      </c>
      <c r="D4" s="35">
        <v>2.0</v>
      </c>
      <c r="E4" s="36">
        <v>15.0</v>
      </c>
      <c r="F4" s="37">
        <v>2.0</v>
      </c>
      <c r="G4" s="37">
        <v>15.0</v>
      </c>
      <c r="H4" s="38">
        <f t="shared" si="1"/>
        <v>450</v>
      </c>
    </row>
    <row r="5">
      <c r="A5" s="32" t="s">
        <v>28</v>
      </c>
      <c r="B5" s="33"/>
      <c r="C5" s="34">
        <v>46049.0</v>
      </c>
      <c r="D5" s="35">
        <v>2.0</v>
      </c>
      <c r="E5" s="36">
        <v>20.0</v>
      </c>
      <c r="F5" s="37">
        <v>2.0</v>
      </c>
      <c r="G5" s="37">
        <v>15.0</v>
      </c>
      <c r="H5" s="38">
        <f t="shared" si="1"/>
        <v>600</v>
      </c>
    </row>
    <row r="6">
      <c r="A6" s="32" t="s">
        <v>28</v>
      </c>
      <c r="B6" s="33"/>
      <c r="C6" s="34">
        <v>46056.0</v>
      </c>
      <c r="D6" s="35">
        <v>2.0</v>
      </c>
      <c r="E6" s="36">
        <v>20.0</v>
      </c>
      <c r="F6" s="37">
        <v>2.0</v>
      </c>
      <c r="G6" s="37">
        <v>15.0</v>
      </c>
      <c r="H6" s="38">
        <f t="shared" si="1"/>
        <v>600</v>
      </c>
    </row>
    <row r="7">
      <c r="A7" s="32" t="s">
        <v>28</v>
      </c>
      <c r="B7" s="33"/>
      <c r="C7" s="34">
        <v>46063.0</v>
      </c>
      <c r="D7" s="35">
        <v>2.0</v>
      </c>
      <c r="E7" s="36">
        <v>20.0</v>
      </c>
      <c r="F7" s="37">
        <v>2.0</v>
      </c>
      <c r="G7" s="37">
        <v>15.0</v>
      </c>
      <c r="H7" s="38">
        <f t="shared" si="1"/>
        <v>600</v>
      </c>
      <c r="J7" s="39" t="s">
        <v>54</v>
      </c>
      <c r="K7" s="40"/>
      <c r="L7" s="40"/>
      <c r="M7" s="40"/>
      <c r="N7" s="40"/>
      <c r="O7" s="40"/>
      <c r="P7" s="41"/>
    </row>
    <row r="8">
      <c r="A8" s="32" t="s">
        <v>28</v>
      </c>
      <c r="B8" s="33"/>
      <c r="C8" s="34">
        <v>46070.0</v>
      </c>
      <c r="D8" s="35">
        <v>2.0</v>
      </c>
      <c r="E8" s="36">
        <v>25.0</v>
      </c>
      <c r="F8" s="37">
        <v>2.0</v>
      </c>
      <c r="G8" s="37">
        <v>15.0</v>
      </c>
      <c r="H8" s="38">
        <f t="shared" si="1"/>
        <v>750</v>
      </c>
    </row>
    <row r="9">
      <c r="A9" s="32" t="s">
        <v>28</v>
      </c>
      <c r="B9" s="33"/>
      <c r="C9" s="34">
        <v>46077.0</v>
      </c>
      <c r="D9" s="35">
        <v>2.0</v>
      </c>
      <c r="E9" s="36">
        <v>25.0</v>
      </c>
      <c r="F9" s="37">
        <v>2.0</v>
      </c>
      <c r="G9" s="37">
        <v>15.0</v>
      </c>
      <c r="H9" s="38">
        <f t="shared" si="1"/>
        <v>750</v>
      </c>
    </row>
    <row r="10">
      <c r="A10" s="32" t="s">
        <v>28</v>
      </c>
      <c r="B10" s="33"/>
      <c r="C10" s="34">
        <v>46084.0</v>
      </c>
      <c r="D10" s="35">
        <v>2.0</v>
      </c>
      <c r="E10" s="36">
        <v>25.0</v>
      </c>
      <c r="F10" s="37">
        <v>2.0</v>
      </c>
      <c r="G10" s="37">
        <v>15.0</v>
      </c>
      <c r="H10" s="38">
        <f t="shared" si="1"/>
        <v>750</v>
      </c>
    </row>
    <row r="11">
      <c r="A11" s="32" t="s">
        <v>28</v>
      </c>
      <c r="B11" s="33"/>
      <c r="C11" s="34">
        <v>46091.0</v>
      </c>
      <c r="D11" s="35">
        <v>2.0</v>
      </c>
      <c r="E11" s="36">
        <v>30.0</v>
      </c>
      <c r="F11" s="37">
        <v>2.0</v>
      </c>
      <c r="G11" s="37">
        <v>15.0</v>
      </c>
      <c r="H11" s="38">
        <f t="shared" si="1"/>
        <v>900</v>
      </c>
    </row>
    <row r="12">
      <c r="A12" s="32" t="s">
        <v>28</v>
      </c>
      <c r="B12" s="33"/>
      <c r="C12" s="34">
        <v>46098.0</v>
      </c>
      <c r="D12" s="35">
        <v>2.0</v>
      </c>
      <c r="E12" s="36">
        <v>30.0</v>
      </c>
      <c r="F12" s="37">
        <v>2.0</v>
      </c>
      <c r="G12" s="37">
        <v>15.0</v>
      </c>
      <c r="H12" s="38">
        <f t="shared" si="1"/>
        <v>900</v>
      </c>
    </row>
    <row r="13">
      <c r="A13" s="32" t="s">
        <v>28</v>
      </c>
      <c r="B13" s="33"/>
      <c r="C13" s="34">
        <v>46105.0</v>
      </c>
      <c r="D13" s="35">
        <v>2.0</v>
      </c>
      <c r="E13" s="36">
        <v>30.0</v>
      </c>
      <c r="F13" s="37">
        <v>2.0</v>
      </c>
      <c r="G13" s="37">
        <v>15.0</v>
      </c>
      <c r="H13" s="38">
        <f t="shared" si="1"/>
        <v>900</v>
      </c>
    </row>
    <row r="14">
      <c r="A14" s="32" t="s">
        <v>28</v>
      </c>
      <c r="B14" s="33"/>
      <c r="C14" s="34">
        <v>46112.0</v>
      </c>
      <c r="D14" s="35">
        <v>2.0</v>
      </c>
      <c r="E14" s="36">
        <v>35.0</v>
      </c>
      <c r="F14" s="37">
        <v>2.0</v>
      </c>
      <c r="G14" s="37">
        <v>15.0</v>
      </c>
      <c r="H14" s="38">
        <f t="shared" si="1"/>
        <v>1050</v>
      </c>
      <c r="J14" s="39" t="s">
        <v>54</v>
      </c>
      <c r="K14" s="40"/>
      <c r="L14" s="40"/>
      <c r="M14" s="40"/>
      <c r="N14" s="40"/>
      <c r="O14" s="40"/>
      <c r="P14" s="41"/>
    </row>
    <row r="15">
      <c r="A15" s="32" t="s">
        <v>28</v>
      </c>
      <c r="B15" s="33"/>
      <c r="C15" s="34">
        <v>46119.0</v>
      </c>
      <c r="D15" s="35">
        <v>2.0</v>
      </c>
      <c r="E15" s="36">
        <v>35.0</v>
      </c>
      <c r="F15" s="37">
        <v>2.0</v>
      </c>
      <c r="G15" s="37">
        <v>15.0</v>
      </c>
      <c r="H15" s="38">
        <f t="shared" si="1"/>
        <v>1050</v>
      </c>
    </row>
    <row r="16">
      <c r="A16" s="32" t="s">
        <v>28</v>
      </c>
      <c r="B16" s="33"/>
      <c r="C16" s="34">
        <v>46126.0</v>
      </c>
      <c r="D16" s="35">
        <v>2.0</v>
      </c>
      <c r="E16" s="36">
        <v>35.0</v>
      </c>
      <c r="F16" s="37">
        <v>2.0</v>
      </c>
      <c r="G16" s="37">
        <v>15.0</v>
      </c>
      <c r="H16" s="38">
        <f t="shared" si="1"/>
        <v>1050</v>
      </c>
    </row>
    <row r="17">
      <c r="A17" s="32" t="s">
        <v>28</v>
      </c>
      <c r="B17" s="33"/>
      <c r="C17" s="34">
        <v>46133.0</v>
      </c>
      <c r="D17" s="35">
        <v>2.0</v>
      </c>
      <c r="E17" s="36">
        <v>40.0</v>
      </c>
      <c r="F17" s="37">
        <v>2.0</v>
      </c>
      <c r="G17" s="37">
        <v>15.0</v>
      </c>
      <c r="H17" s="38">
        <f t="shared" si="1"/>
        <v>1200</v>
      </c>
    </row>
  </sheetData>
  <mergeCells count="2">
    <mergeCell ref="J7:P7"/>
    <mergeCell ref="J14:P14"/>
  </mergeCells>
  <hyperlinks>
    <hyperlink display="Week at a Glance" location="'Week At a Glance'!A2" ref="J7"/>
    <hyperlink display="Week at a Glance" location="'Week At a Glance'!A2" ref="J14"/>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22</v>
      </c>
      <c r="B2" s="33" t="s">
        <v>62</v>
      </c>
      <c r="C2" s="34">
        <v>46028.0</v>
      </c>
      <c r="D2" s="35">
        <v>2.0</v>
      </c>
      <c r="E2" s="36">
        <v>35.0</v>
      </c>
      <c r="F2" s="37">
        <v>3.0</v>
      </c>
      <c r="G2" s="37">
        <v>8.0</v>
      </c>
      <c r="H2" s="38">
        <f t="shared" ref="H2:H17" si="1">E2*F2*G2</f>
        <v>840</v>
      </c>
    </row>
    <row r="3">
      <c r="A3" s="32" t="s">
        <v>22</v>
      </c>
      <c r="B3" s="33"/>
      <c r="C3" s="34">
        <v>46035.0</v>
      </c>
      <c r="D3" s="35">
        <v>2.0</v>
      </c>
      <c r="E3" s="36">
        <v>35.0</v>
      </c>
      <c r="F3" s="37">
        <v>3.0</v>
      </c>
      <c r="G3" s="37">
        <v>10.0</v>
      </c>
      <c r="H3" s="38">
        <f t="shared" si="1"/>
        <v>1050</v>
      </c>
    </row>
    <row r="4">
      <c r="A4" s="32" t="s">
        <v>22</v>
      </c>
      <c r="B4" s="33"/>
      <c r="C4" s="34">
        <v>46042.0</v>
      </c>
      <c r="D4" s="35">
        <v>2.0</v>
      </c>
      <c r="E4" s="36">
        <v>35.0</v>
      </c>
      <c r="F4" s="37">
        <v>3.0</v>
      </c>
      <c r="G4" s="37">
        <v>12.0</v>
      </c>
      <c r="H4" s="38">
        <f t="shared" si="1"/>
        <v>1260</v>
      </c>
    </row>
    <row r="5">
      <c r="A5" s="32" t="s">
        <v>22</v>
      </c>
      <c r="B5" s="33"/>
      <c r="C5" s="34">
        <v>46049.0</v>
      </c>
      <c r="D5" s="35">
        <v>2.0</v>
      </c>
      <c r="E5" s="36">
        <v>35.0</v>
      </c>
      <c r="F5" s="37">
        <v>3.0</v>
      </c>
      <c r="G5" s="37">
        <v>14.0</v>
      </c>
      <c r="H5" s="38">
        <f t="shared" si="1"/>
        <v>1470</v>
      </c>
    </row>
    <row r="6">
      <c r="A6" s="32" t="s">
        <v>22</v>
      </c>
      <c r="B6" s="33"/>
      <c r="C6" s="34">
        <v>46056.0</v>
      </c>
      <c r="D6" s="35">
        <v>2.0</v>
      </c>
      <c r="E6" s="36">
        <v>40.0</v>
      </c>
      <c r="F6" s="37">
        <v>3.0</v>
      </c>
      <c r="G6" s="37">
        <v>8.0</v>
      </c>
      <c r="H6" s="38">
        <f t="shared" si="1"/>
        <v>960</v>
      </c>
    </row>
    <row r="7">
      <c r="A7" s="32" t="s">
        <v>22</v>
      </c>
      <c r="B7" s="33"/>
      <c r="C7" s="34">
        <v>46063.0</v>
      </c>
      <c r="D7" s="35">
        <v>2.0</v>
      </c>
      <c r="E7" s="36">
        <v>40.0</v>
      </c>
      <c r="F7" s="37">
        <v>3.0</v>
      </c>
      <c r="G7" s="37">
        <v>10.0</v>
      </c>
      <c r="H7" s="38">
        <f t="shared" si="1"/>
        <v>1200</v>
      </c>
      <c r="J7" s="39" t="s">
        <v>54</v>
      </c>
      <c r="K7" s="40"/>
      <c r="L7" s="40"/>
      <c r="M7" s="40"/>
      <c r="N7" s="40"/>
      <c r="O7" s="40"/>
      <c r="P7" s="41"/>
    </row>
    <row r="8">
      <c r="A8" s="32" t="s">
        <v>22</v>
      </c>
      <c r="B8" s="33"/>
      <c r="C8" s="34">
        <v>46070.0</v>
      </c>
      <c r="D8" s="35">
        <v>2.0</v>
      </c>
      <c r="E8" s="36">
        <v>40.0</v>
      </c>
      <c r="F8" s="37">
        <v>3.0</v>
      </c>
      <c r="G8" s="37">
        <v>12.0</v>
      </c>
      <c r="H8" s="38">
        <f t="shared" si="1"/>
        <v>1440</v>
      </c>
    </row>
    <row r="9">
      <c r="A9" s="32" t="s">
        <v>22</v>
      </c>
      <c r="B9" s="33"/>
      <c r="C9" s="34">
        <v>46077.0</v>
      </c>
      <c r="D9" s="35">
        <v>2.0</v>
      </c>
      <c r="E9" s="36">
        <v>40.0</v>
      </c>
      <c r="F9" s="37">
        <v>3.0</v>
      </c>
      <c r="G9" s="37">
        <v>14.0</v>
      </c>
      <c r="H9" s="38">
        <f t="shared" si="1"/>
        <v>1680</v>
      </c>
    </row>
    <row r="10">
      <c r="A10" s="32" t="s">
        <v>22</v>
      </c>
      <c r="B10" s="33"/>
      <c r="C10" s="34">
        <v>46084.0</v>
      </c>
      <c r="D10" s="35">
        <v>2.0</v>
      </c>
      <c r="E10" s="36">
        <v>45.0</v>
      </c>
      <c r="F10" s="37">
        <v>3.0</v>
      </c>
      <c r="G10" s="37">
        <v>8.0</v>
      </c>
      <c r="H10" s="38">
        <f t="shared" si="1"/>
        <v>1080</v>
      </c>
    </row>
    <row r="11">
      <c r="A11" s="32" t="s">
        <v>22</v>
      </c>
      <c r="B11" s="33"/>
      <c r="C11" s="34">
        <v>46091.0</v>
      </c>
      <c r="D11" s="35">
        <v>2.0</v>
      </c>
      <c r="E11" s="36">
        <v>45.0</v>
      </c>
      <c r="F11" s="37">
        <v>3.0</v>
      </c>
      <c r="G11" s="37">
        <v>10.0</v>
      </c>
      <c r="H11" s="38">
        <f t="shared" si="1"/>
        <v>1350</v>
      </c>
    </row>
    <row r="12">
      <c r="A12" s="32" t="s">
        <v>22</v>
      </c>
      <c r="B12" s="33"/>
      <c r="C12" s="34">
        <v>46098.0</v>
      </c>
      <c r="D12" s="35">
        <v>2.0</v>
      </c>
      <c r="E12" s="36">
        <v>45.0</v>
      </c>
      <c r="F12" s="37">
        <v>3.0</v>
      </c>
      <c r="G12" s="37">
        <v>12.0</v>
      </c>
      <c r="H12" s="38">
        <f t="shared" si="1"/>
        <v>1620</v>
      </c>
    </row>
    <row r="13">
      <c r="A13" s="32" t="s">
        <v>22</v>
      </c>
      <c r="B13" s="33"/>
      <c r="C13" s="34">
        <v>46105.0</v>
      </c>
      <c r="D13" s="35">
        <v>2.0</v>
      </c>
      <c r="E13" s="36">
        <v>45.0</v>
      </c>
      <c r="F13" s="37">
        <v>3.0</v>
      </c>
      <c r="G13" s="37">
        <v>14.0</v>
      </c>
      <c r="H13" s="38">
        <f t="shared" si="1"/>
        <v>1890</v>
      </c>
    </row>
    <row r="14">
      <c r="A14" s="32" t="s">
        <v>22</v>
      </c>
      <c r="B14" s="33"/>
      <c r="C14" s="34">
        <v>46112.0</v>
      </c>
      <c r="D14" s="35">
        <v>2.0</v>
      </c>
      <c r="E14" s="36">
        <v>50.0</v>
      </c>
      <c r="F14" s="37">
        <v>3.0</v>
      </c>
      <c r="G14" s="37">
        <v>8.0</v>
      </c>
      <c r="H14" s="38">
        <f t="shared" si="1"/>
        <v>1200</v>
      </c>
    </row>
    <row r="15">
      <c r="A15" s="32" t="s">
        <v>22</v>
      </c>
      <c r="B15" s="33"/>
      <c r="C15" s="34">
        <v>46119.0</v>
      </c>
      <c r="D15" s="35">
        <v>2.0</v>
      </c>
      <c r="E15" s="36">
        <v>50.0</v>
      </c>
      <c r="F15" s="37">
        <v>3.0</v>
      </c>
      <c r="G15" s="37">
        <v>10.0</v>
      </c>
      <c r="H15" s="38">
        <f t="shared" si="1"/>
        <v>1500</v>
      </c>
    </row>
    <row r="16">
      <c r="A16" s="32" t="s">
        <v>22</v>
      </c>
      <c r="B16" s="33"/>
      <c r="C16" s="34">
        <v>46126.0</v>
      </c>
      <c r="D16" s="35">
        <v>2.0</v>
      </c>
      <c r="E16" s="36">
        <v>50.0</v>
      </c>
      <c r="F16" s="37">
        <v>3.0</v>
      </c>
      <c r="G16" s="37">
        <v>12.0</v>
      </c>
      <c r="H16" s="38">
        <f t="shared" si="1"/>
        <v>1800</v>
      </c>
    </row>
    <row r="17">
      <c r="A17" s="32" t="s">
        <v>22</v>
      </c>
      <c r="B17" s="33"/>
      <c r="C17" s="34">
        <v>46133.0</v>
      </c>
      <c r="D17" s="35">
        <v>2.0</v>
      </c>
      <c r="E17" s="36">
        <v>50.0</v>
      </c>
      <c r="F17" s="37">
        <v>3.0</v>
      </c>
      <c r="G17" s="37">
        <v>14.0</v>
      </c>
      <c r="H17" s="38">
        <f t="shared" si="1"/>
        <v>2100</v>
      </c>
    </row>
    <row r="24">
      <c r="J24" s="39" t="s">
        <v>54</v>
      </c>
      <c r="K24" s="40"/>
      <c r="L24" s="40"/>
      <c r="M24" s="40"/>
      <c r="N24" s="40"/>
      <c r="O24" s="40"/>
      <c r="P24" s="41"/>
    </row>
  </sheetData>
  <mergeCells count="2">
    <mergeCell ref="J7:P7"/>
    <mergeCell ref="J24:P24"/>
  </mergeCells>
  <hyperlinks>
    <hyperlink display="Week at a Glance" location="'Week At a Glance'!A2" ref="J7"/>
    <hyperlink display="Week at a Glance" location="'Week At a Glance'!A2" ref="J24"/>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32</v>
      </c>
      <c r="B2" s="33" t="s">
        <v>65</v>
      </c>
      <c r="C2" s="34">
        <v>46028.0</v>
      </c>
      <c r="D2" s="35">
        <v>2.0</v>
      </c>
      <c r="E2" s="36">
        <v>15.0</v>
      </c>
      <c r="F2" s="37">
        <v>2.0</v>
      </c>
      <c r="G2" s="37">
        <v>15.0</v>
      </c>
      <c r="H2" s="38">
        <f t="shared" ref="H2:H17" si="1">E2*F2*G2</f>
        <v>450</v>
      </c>
    </row>
    <row r="3">
      <c r="A3" s="32" t="s">
        <v>32</v>
      </c>
      <c r="B3" s="33" t="s">
        <v>66</v>
      </c>
      <c r="C3" s="34">
        <v>46035.0</v>
      </c>
      <c r="D3" s="35">
        <v>2.0</v>
      </c>
      <c r="E3" s="36">
        <v>15.0</v>
      </c>
      <c r="F3" s="37">
        <v>2.0</v>
      </c>
      <c r="G3" s="37">
        <v>15.0</v>
      </c>
      <c r="H3" s="38">
        <f t="shared" si="1"/>
        <v>450</v>
      </c>
    </row>
    <row r="4">
      <c r="A4" s="32" t="s">
        <v>32</v>
      </c>
      <c r="B4" s="33"/>
      <c r="C4" s="34">
        <v>46042.0</v>
      </c>
      <c r="D4" s="35">
        <v>2.0</v>
      </c>
      <c r="E4" s="36">
        <v>15.0</v>
      </c>
      <c r="F4" s="37">
        <v>2.0</v>
      </c>
      <c r="G4" s="37">
        <v>15.0</v>
      </c>
      <c r="H4" s="38">
        <f t="shared" si="1"/>
        <v>450</v>
      </c>
    </row>
    <row r="5">
      <c r="A5" s="32" t="s">
        <v>32</v>
      </c>
      <c r="B5" s="33"/>
      <c r="C5" s="34">
        <v>46049.0</v>
      </c>
      <c r="D5" s="35">
        <v>2.0</v>
      </c>
      <c r="E5" s="36">
        <v>20.0</v>
      </c>
      <c r="F5" s="37">
        <v>2.0</v>
      </c>
      <c r="G5" s="37">
        <v>15.0</v>
      </c>
      <c r="H5" s="38">
        <f t="shared" si="1"/>
        <v>600</v>
      </c>
    </row>
    <row r="6">
      <c r="A6" s="32" t="s">
        <v>32</v>
      </c>
      <c r="B6" s="33"/>
      <c r="C6" s="34">
        <v>46056.0</v>
      </c>
      <c r="D6" s="35">
        <v>2.0</v>
      </c>
      <c r="E6" s="36">
        <v>20.0</v>
      </c>
      <c r="F6" s="37">
        <v>2.0</v>
      </c>
      <c r="G6" s="37">
        <v>15.0</v>
      </c>
      <c r="H6" s="38">
        <f t="shared" si="1"/>
        <v>600</v>
      </c>
    </row>
    <row r="7">
      <c r="A7" s="32" t="s">
        <v>32</v>
      </c>
      <c r="B7" s="33"/>
      <c r="C7" s="34">
        <v>46063.0</v>
      </c>
      <c r="D7" s="35">
        <v>2.0</v>
      </c>
      <c r="E7" s="36">
        <v>20.0</v>
      </c>
      <c r="F7" s="37">
        <v>2.0</v>
      </c>
      <c r="G7" s="37">
        <v>15.0</v>
      </c>
      <c r="H7" s="38">
        <f t="shared" si="1"/>
        <v>600</v>
      </c>
      <c r="J7" s="39" t="s">
        <v>54</v>
      </c>
      <c r="K7" s="40"/>
      <c r="L7" s="40"/>
      <c r="M7" s="40"/>
      <c r="N7" s="40"/>
      <c r="O7" s="40"/>
      <c r="P7" s="41"/>
    </row>
    <row r="8">
      <c r="A8" s="32" t="s">
        <v>32</v>
      </c>
      <c r="B8" s="33"/>
      <c r="C8" s="34">
        <v>46070.0</v>
      </c>
      <c r="D8" s="35">
        <v>2.0</v>
      </c>
      <c r="E8" s="36">
        <v>25.0</v>
      </c>
      <c r="F8" s="37">
        <v>2.0</v>
      </c>
      <c r="G8" s="37">
        <v>15.0</v>
      </c>
      <c r="H8" s="38">
        <f t="shared" si="1"/>
        <v>750</v>
      </c>
    </row>
    <row r="9">
      <c r="A9" s="32" t="s">
        <v>32</v>
      </c>
      <c r="B9" s="33"/>
      <c r="C9" s="34">
        <v>46077.0</v>
      </c>
      <c r="D9" s="35">
        <v>2.0</v>
      </c>
      <c r="E9" s="36">
        <v>25.0</v>
      </c>
      <c r="F9" s="37">
        <v>2.0</v>
      </c>
      <c r="G9" s="37">
        <v>15.0</v>
      </c>
      <c r="H9" s="38">
        <f t="shared" si="1"/>
        <v>750</v>
      </c>
    </row>
    <row r="10">
      <c r="A10" s="32" t="s">
        <v>32</v>
      </c>
      <c r="B10" s="33"/>
      <c r="C10" s="34">
        <v>46084.0</v>
      </c>
      <c r="D10" s="35">
        <v>2.0</v>
      </c>
      <c r="E10" s="36">
        <v>25.0</v>
      </c>
      <c r="F10" s="37">
        <v>2.0</v>
      </c>
      <c r="G10" s="37">
        <v>15.0</v>
      </c>
      <c r="H10" s="38">
        <f t="shared" si="1"/>
        <v>750</v>
      </c>
    </row>
    <row r="11">
      <c r="A11" s="32" t="s">
        <v>32</v>
      </c>
      <c r="B11" s="33"/>
      <c r="C11" s="34">
        <v>46091.0</v>
      </c>
      <c r="D11" s="35">
        <v>2.0</v>
      </c>
      <c r="E11" s="36">
        <v>30.0</v>
      </c>
      <c r="F11" s="37">
        <v>2.0</v>
      </c>
      <c r="G11" s="37">
        <v>15.0</v>
      </c>
      <c r="H11" s="38">
        <f t="shared" si="1"/>
        <v>900</v>
      </c>
    </row>
    <row r="12">
      <c r="A12" s="32" t="s">
        <v>32</v>
      </c>
      <c r="B12" s="33"/>
      <c r="C12" s="34">
        <v>46098.0</v>
      </c>
      <c r="D12" s="35">
        <v>2.0</v>
      </c>
      <c r="E12" s="36">
        <v>30.0</v>
      </c>
      <c r="F12" s="37">
        <v>2.0</v>
      </c>
      <c r="G12" s="37">
        <v>15.0</v>
      </c>
      <c r="H12" s="38">
        <f t="shared" si="1"/>
        <v>900</v>
      </c>
    </row>
    <row r="13">
      <c r="A13" s="32" t="s">
        <v>32</v>
      </c>
      <c r="B13" s="33"/>
      <c r="C13" s="34">
        <v>46105.0</v>
      </c>
      <c r="D13" s="35">
        <v>2.0</v>
      </c>
      <c r="E13" s="36">
        <v>30.0</v>
      </c>
      <c r="F13" s="37">
        <v>2.0</v>
      </c>
      <c r="G13" s="37">
        <v>15.0</v>
      </c>
      <c r="H13" s="38">
        <f t="shared" si="1"/>
        <v>900</v>
      </c>
    </row>
    <row r="14">
      <c r="A14" s="32" t="s">
        <v>32</v>
      </c>
      <c r="B14" s="33"/>
      <c r="C14" s="34">
        <v>46112.0</v>
      </c>
      <c r="D14" s="35">
        <v>2.0</v>
      </c>
      <c r="E14" s="36">
        <v>35.0</v>
      </c>
      <c r="F14" s="37">
        <v>2.0</v>
      </c>
      <c r="G14" s="37">
        <v>15.0</v>
      </c>
      <c r="H14" s="38">
        <f t="shared" si="1"/>
        <v>1050</v>
      </c>
    </row>
    <row r="15">
      <c r="A15" s="32" t="s">
        <v>32</v>
      </c>
      <c r="B15" s="33"/>
      <c r="C15" s="34">
        <v>46119.0</v>
      </c>
      <c r="D15" s="35">
        <v>2.0</v>
      </c>
      <c r="E15" s="36">
        <v>35.0</v>
      </c>
      <c r="F15" s="37">
        <v>2.0</v>
      </c>
      <c r="G15" s="37">
        <v>15.0</v>
      </c>
      <c r="H15" s="38">
        <f t="shared" si="1"/>
        <v>1050</v>
      </c>
    </row>
    <row r="16">
      <c r="A16" s="32" t="s">
        <v>32</v>
      </c>
      <c r="B16" s="33"/>
      <c r="C16" s="34">
        <v>46126.0</v>
      </c>
      <c r="D16" s="35">
        <v>2.0</v>
      </c>
      <c r="E16" s="36">
        <v>35.0</v>
      </c>
      <c r="F16" s="37">
        <v>2.0</v>
      </c>
      <c r="G16" s="37">
        <v>15.0</v>
      </c>
      <c r="H16" s="38">
        <f t="shared" si="1"/>
        <v>1050</v>
      </c>
    </row>
    <row r="17">
      <c r="A17" s="32" t="s">
        <v>32</v>
      </c>
      <c r="B17" s="33"/>
      <c r="C17" s="34">
        <v>46133.0</v>
      </c>
      <c r="D17" s="35">
        <v>2.0</v>
      </c>
      <c r="E17" s="36">
        <v>40.0</v>
      </c>
      <c r="F17" s="37">
        <v>2.0</v>
      </c>
      <c r="G17" s="37">
        <v>15.0</v>
      </c>
      <c r="H17" s="38">
        <f t="shared" si="1"/>
        <v>1200</v>
      </c>
    </row>
    <row r="24">
      <c r="J24" s="39" t="s">
        <v>54</v>
      </c>
      <c r="K24" s="40"/>
      <c r="L24" s="40"/>
      <c r="M24" s="40"/>
      <c r="N24" s="40"/>
      <c r="O24" s="40"/>
      <c r="P24" s="41"/>
    </row>
  </sheetData>
  <mergeCells count="2">
    <mergeCell ref="J7:P7"/>
    <mergeCell ref="J24:P24"/>
  </mergeCells>
  <hyperlinks>
    <hyperlink display="Week at a Glance" location="'Week At a Glance'!A2" ref="J7"/>
    <hyperlink display="Week at a Glance" location="'Week At a Glance'!A2" ref="J24"/>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26</v>
      </c>
      <c r="B2" s="33"/>
      <c r="C2" s="34">
        <v>46026.0</v>
      </c>
      <c r="D2" s="35">
        <v>2.0</v>
      </c>
      <c r="E2" s="36">
        <v>25.0</v>
      </c>
      <c r="F2" s="37">
        <v>2.0</v>
      </c>
      <c r="G2" s="37">
        <v>10.0</v>
      </c>
      <c r="H2" s="38">
        <f t="shared" ref="H2:H17" si="1">E2*F2*G2</f>
        <v>500</v>
      </c>
    </row>
    <row r="3">
      <c r="A3" s="32" t="s">
        <v>26</v>
      </c>
      <c r="B3" s="33"/>
      <c r="C3" s="34">
        <v>46033.0</v>
      </c>
      <c r="D3" s="35">
        <v>2.0</v>
      </c>
      <c r="E3" s="36">
        <v>25.0</v>
      </c>
      <c r="F3" s="37">
        <v>2.0</v>
      </c>
      <c r="G3" s="37">
        <v>12.0</v>
      </c>
      <c r="H3" s="38">
        <f t="shared" si="1"/>
        <v>600</v>
      </c>
    </row>
    <row r="4">
      <c r="A4" s="32" t="s">
        <v>26</v>
      </c>
      <c r="B4" s="33"/>
      <c r="C4" s="34">
        <v>46040.0</v>
      </c>
      <c r="D4" s="35">
        <v>2.0</v>
      </c>
      <c r="E4" s="36">
        <v>25.0</v>
      </c>
      <c r="F4" s="37">
        <v>2.0</v>
      </c>
      <c r="G4" s="37">
        <v>13.0</v>
      </c>
      <c r="H4" s="38">
        <f t="shared" si="1"/>
        <v>650</v>
      </c>
    </row>
    <row r="5">
      <c r="A5" s="32" t="s">
        <v>26</v>
      </c>
      <c r="B5" s="33"/>
      <c r="C5" s="34">
        <v>46047.0</v>
      </c>
      <c r="D5" s="35">
        <v>2.0</v>
      </c>
      <c r="E5" s="36">
        <v>25.0</v>
      </c>
      <c r="F5" s="37">
        <v>2.0</v>
      </c>
      <c r="G5" s="37">
        <v>15.0</v>
      </c>
      <c r="H5" s="38">
        <f t="shared" si="1"/>
        <v>750</v>
      </c>
    </row>
    <row r="6">
      <c r="A6" s="32" t="s">
        <v>26</v>
      </c>
      <c r="B6" s="33"/>
      <c r="C6" s="34">
        <v>46054.0</v>
      </c>
      <c r="D6" s="35">
        <v>2.0</v>
      </c>
      <c r="E6" s="36">
        <v>30.0</v>
      </c>
      <c r="F6" s="37">
        <v>2.0</v>
      </c>
      <c r="G6" s="37">
        <v>10.0</v>
      </c>
      <c r="H6" s="38">
        <f t="shared" si="1"/>
        <v>600</v>
      </c>
    </row>
    <row r="7">
      <c r="A7" s="32" t="s">
        <v>26</v>
      </c>
      <c r="B7" s="33"/>
      <c r="C7" s="34">
        <v>46061.0</v>
      </c>
      <c r="D7" s="35">
        <v>2.0</v>
      </c>
      <c r="E7" s="36">
        <v>30.0</v>
      </c>
      <c r="F7" s="37">
        <v>2.0</v>
      </c>
      <c r="G7" s="37">
        <v>12.0</v>
      </c>
      <c r="H7" s="38">
        <f t="shared" si="1"/>
        <v>720</v>
      </c>
      <c r="J7" s="39" t="s">
        <v>54</v>
      </c>
      <c r="K7" s="40"/>
      <c r="L7" s="40"/>
      <c r="M7" s="40"/>
      <c r="N7" s="40"/>
      <c r="O7" s="40"/>
      <c r="P7" s="41"/>
    </row>
    <row r="8">
      <c r="A8" s="32" t="s">
        <v>26</v>
      </c>
      <c r="B8" s="33"/>
      <c r="C8" s="34">
        <v>46068.0</v>
      </c>
      <c r="D8" s="35">
        <v>2.0</v>
      </c>
      <c r="E8" s="36">
        <v>30.0</v>
      </c>
      <c r="F8" s="37">
        <v>2.0</v>
      </c>
      <c r="G8" s="37">
        <v>13.0</v>
      </c>
      <c r="H8" s="38">
        <f t="shared" si="1"/>
        <v>780</v>
      </c>
    </row>
    <row r="9">
      <c r="A9" s="32" t="s">
        <v>26</v>
      </c>
      <c r="B9" s="33"/>
      <c r="C9" s="34">
        <v>46075.0</v>
      </c>
      <c r="D9" s="35">
        <v>2.0</v>
      </c>
      <c r="E9" s="36">
        <v>30.0</v>
      </c>
      <c r="F9" s="37">
        <v>2.0</v>
      </c>
      <c r="G9" s="37">
        <v>15.0</v>
      </c>
      <c r="H9" s="38">
        <f t="shared" si="1"/>
        <v>900</v>
      </c>
    </row>
    <row r="10">
      <c r="A10" s="32" t="s">
        <v>26</v>
      </c>
      <c r="B10" s="33"/>
      <c r="C10" s="34">
        <v>46082.0</v>
      </c>
      <c r="D10" s="35">
        <v>2.0</v>
      </c>
      <c r="E10" s="36">
        <v>35.0</v>
      </c>
      <c r="F10" s="37">
        <v>2.0</v>
      </c>
      <c r="G10" s="37">
        <v>10.0</v>
      </c>
      <c r="H10" s="38">
        <f t="shared" si="1"/>
        <v>700</v>
      </c>
    </row>
    <row r="11">
      <c r="A11" s="32" t="s">
        <v>26</v>
      </c>
      <c r="B11" s="33"/>
      <c r="C11" s="34">
        <v>46089.0</v>
      </c>
      <c r="D11" s="35">
        <v>2.0</v>
      </c>
      <c r="E11" s="36">
        <v>35.0</v>
      </c>
      <c r="F11" s="37">
        <v>2.0</v>
      </c>
      <c r="G11" s="37">
        <v>12.0</v>
      </c>
      <c r="H11" s="38">
        <f t="shared" si="1"/>
        <v>840</v>
      </c>
    </row>
    <row r="12">
      <c r="A12" s="32" t="s">
        <v>26</v>
      </c>
      <c r="B12" s="33"/>
      <c r="C12" s="34">
        <v>46096.0</v>
      </c>
      <c r="D12" s="35">
        <v>2.0</v>
      </c>
      <c r="E12" s="36">
        <v>35.0</v>
      </c>
      <c r="F12" s="37">
        <v>2.0</v>
      </c>
      <c r="G12" s="37">
        <v>13.0</v>
      </c>
      <c r="H12" s="38">
        <f t="shared" si="1"/>
        <v>910</v>
      </c>
    </row>
    <row r="13">
      <c r="A13" s="32" t="s">
        <v>26</v>
      </c>
      <c r="B13" s="33"/>
      <c r="C13" s="34">
        <v>46103.0</v>
      </c>
      <c r="D13" s="35">
        <v>2.0</v>
      </c>
      <c r="E13" s="36">
        <v>35.0</v>
      </c>
      <c r="F13" s="37">
        <v>2.0</v>
      </c>
      <c r="G13" s="37">
        <v>15.0</v>
      </c>
      <c r="H13" s="38">
        <f t="shared" si="1"/>
        <v>1050</v>
      </c>
    </row>
    <row r="14">
      <c r="A14" s="32" t="s">
        <v>26</v>
      </c>
      <c r="B14" s="33"/>
      <c r="C14" s="34">
        <v>46110.0</v>
      </c>
      <c r="D14" s="35">
        <v>2.0</v>
      </c>
      <c r="E14" s="36">
        <v>40.0</v>
      </c>
      <c r="F14" s="37">
        <v>2.0</v>
      </c>
      <c r="G14" s="37">
        <v>10.0</v>
      </c>
      <c r="H14" s="38">
        <f t="shared" si="1"/>
        <v>800</v>
      </c>
    </row>
    <row r="15">
      <c r="A15" s="32" t="s">
        <v>26</v>
      </c>
      <c r="B15" s="33"/>
      <c r="C15" s="34">
        <v>46117.0</v>
      </c>
      <c r="D15" s="35">
        <v>2.0</v>
      </c>
      <c r="E15" s="36">
        <v>40.0</v>
      </c>
      <c r="F15" s="37">
        <v>2.0</v>
      </c>
      <c r="G15" s="37">
        <v>12.0</v>
      </c>
      <c r="H15" s="38">
        <f t="shared" si="1"/>
        <v>960</v>
      </c>
    </row>
    <row r="16">
      <c r="A16" s="32" t="s">
        <v>26</v>
      </c>
      <c r="B16" s="33"/>
      <c r="C16" s="34">
        <v>46124.0</v>
      </c>
      <c r="D16" s="35">
        <v>2.0</v>
      </c>
      <c r="E16" s="36">
        <v>40.0</v>
      </c>
      <c r="F16" s="37">
        <v>2.0</v>
      </c>
      <c r="G16" s="37">
        <v>13.0</v>
      </c>
      <c r="H16" s="38">
        <f t="shared" si="1"/>
        <v>1040</v>
      </c>
    </row>
    <row r="17">
      <c r="A17" s="32" t="s">
        <v>26</v>
      </c>
      <c r="B17" s="33"/>
      <c r="C17" s="34">
        <v>46131.0</v>
      </c>
      <c r="D17" s="35">
        <v>2.0</v>
      </c>
      <c r="E17" s="36">
        <v>40.0</v>
      </c>
      <c r="F17" s="37">
        <v>2.0</v>
      </c>
      <c r="G17" s="37">
        <v>15.0</v>
      </c>
      <c r="H17" s="38">
        <f t="shared" si="1"/>
        <v>1200</v>
      </c>
    </row>
    <row r="24">
      <c r="J24" s="39" t="s">
        <v>54</v>
      </c>
      <c r="K24" s="40"/>
      <c r="L24" s="40"/>
      <c r="M24" s="40"/>
      <c r="N24" s="40"/>
      <c r="O24" s="40"/>
      <c r="P24" s="41"/>
    </row>
  </sheetData>
  <mergeCells count="2">
    <mergeCell ref="J7:P7"/>
    <mergeCell ref="J24:P24"/>
  </mergeCells>
  <hyperlinks>
    <hyperlink display="Week at a Glance" location="'Week At a Glance'!A2" ref="J7"/>
    <hyperlink display="Week at a Glance" location="'Week At a Glance'!A2" ref="J24"/>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17</v>
      </c>
      <c r="B2" s="33" t="s">
        <v>67</v>
      </c>
      <c r="C2" s="34">
        <v>46026.0</v>
      </c>
      <c r="D2" s="35">
        <v>2.0</v>
      </c>
      <c r="E2" s="36">
        <v>70.0</v>
      </c>
      <c r="F2" s="37">
        <v>3.0</v>
      </c>
      <c r="G2" s="37">
        <v>6.0</v>
      </c>
      <c r="H2" s="38">
        <f t="shared" ref="H2:H17" si="1">E2*F2*G2</f>
        <v>1260</v>
      </c>
    </row>
    <row r="3">
      <c r="A3" s="32" t="s">
        <v>17</v>
      </c>
      <c r="B3" s="33"/>
      <c r="C3" s="34">
        <v>46033.0</v>
      </c>
      <c r="D3" s="35">
        <v>2.0</v>
      </c>
      <c r="E3" s="36">
        <v>70.0</v>
      </c>
      <c r="F3" s="37">
        <v>3.0</v>
      </c>
      <c r="G3" s="37">
        <v>8.0</v>
      </c>
      <c r="H3" s="38">
        <f t="shared" si="1"/>
        <v>1680</v>
      </c>
    </row>
    <row r="4">
      <c r="A4" s="32" t="s">
        <v>17</v>
      </c>
      <c r="B4" s="33"/>
      <c r="C4" s="34">
        <v>46040.0</v>
      </c>
      <c r="D4" s="35">
        <v>2.0</v>
      </c>
      <c r="E4" s="36">
        <v>70.0</v>
      </c>
      <c r="F4" s="37">
        <v>3.0</v>
      </c>
      <c r="G4" s="37">
        <v>10.0</v>
      </c>
      <c r="H4" s="38">
        <f t="shared" si="1"/>
        <v>2100</v>
      </c>
    </row>
    <row r="5">
      <c r="A5" s="32" t="s">
        <v>17</v>
      </c>
      <c r="B5" s="33"/>
      <c r="C5" s="34">
        <v>46047.0</v>
      </c>
      <c r="D5" s="35">
        <v>2.0</v>
      </c>
      <c r="E5" s="36">
        <v>80.0</v>
      </c>
      <c r="F5" s="37">
        <v>3.0</v>
      </c>
      <c r="G5" s="37">
        <v>6.0</v>
      </c>
      <c r="H5" s="38">
        <f t="shared" si="1"/>
        <v>1440</v>
      </c>
    </row>
    <row r="6">
      <c r="A6" s="32" t="s">
        <v>17</v>
      </c>
      <c r="B6" s="33"/>
      <c r="C6" s="34">
        <v>46054.0</v>
      </c>
      <c r="D6" s="35">
        <v>2.0</v>
      </c>
      <c r="E6" s="36">
        <v>80.0</v>
      </c>
      <c r="F6" s="37">
        <v>3.0</v>
      </c>
      <c r="G6" s="37">
        <v>8.0</v>
      </c>
      <c r="H6" s="38">
        <f t="shared" si="1"/>
        <v>1920</v>
      </c>
    </row>
    <row r="7">
      <c r="A7" s="32" t="s">
        <v>17</v>
      </c>
      <c r="B7" s="33"/>
      <c r="C7" s="34">
        <v>46061.0</v>
      </c>
      <c r="D7" s="35">
        <v>2.0</v>
      </c>
      <c r="E7" s="36">
        <v>80.0</v>
      </c>
      <c r="F7" s="37">
        <v>3.0</v>
      </c>
      <c r="G7" s="37">
        <v>10.0</v>
      </c>
      <c r="H7" s="38">
        <f t="shared" si="1"/>
        <v>2400</v>
      </c>
      <c r="J7" s="39" t="s">
        <v>54</v>
      </c>
      <c r="K7" s="40"/>
      <c r="L7" s="40"/>
      <c r="M7" s="40"/>
      <c r="N7" s="40"/>
      <c r="O7" s="40"/>
      <c r="P7" s="41"/>
    </row>
    <row r="8">
      <c r="A8" s="32" t="s">
        <v>17</v>
      </c>
      <c r="B8" s="33"/>
      <c r="C8" s="34">
        <v>46068.0</v>
      </c>
      <c r="D8" s="35">
        <v>2.0</v>
      </c>
      <c r="E8" s="36">
        <v>90.0</v>
      </c>
      <c r="F8" s="37">
        <v>3.0</v>
      </c>
      <c r="G8" s="37">
        <v>6.0</v>
      </c>
      <c r="H8" s="38">
        <f t="shared" si="1"/>
        <v>1620</v>
      </c>
    </row>
    <row r="9">
      <c r="A9" s="32" t="s">
        <v>17</v>
      </c>
      <c r="B9" s="33"/>
      <c r="C9" s="34">
        <v>46075.0</v>
      </c>
      <c r="D9" s="35">
        <v>2.0</v>
      </c>
      <c r="E9" s="36">
        <v>90.0</v>
      </c>
      <c r="F9" s="37">
        <v>3.0</v>
      </c>
      <c r="G9" s="37">
        <v>8.0</v>
      </c>
      <c r="H9" s="38">
        <f t="shared" si="1"/>
        <v>2160</v>
      </c>
    </row>
    <row r="10">
      <c r="A10" s="32" t="s">
        <v>17</v>
      </c>
      <c r="B10" s="33"/>
      <c r="C10" s="34">
        <v>46082.0</v>
      </c>
      <c r="D10" s="35">
        <v>2.0</v>
      </c>
      <c r="E10" s="36">
        <v>90.0</v>
      </c>
      <c r="F10" s="37">
        <v>3.0</v>
      </c>
      <c r="G10" s="37">
        <v>10.0</v>
      </c>
      <c r="H10" s="38">
        <f t="shared" si="1"/>
        <v>2700</v>
      </c>
    </row>
    <row r="11">
      <c r="A11" s="32" t="s">
        <v>17</v>
      </c>
      <c r="B11" s="33"/>
      <c r="C11" s="34">
        <v>46089.0</v>
      </c>
      <c r="D11" s="35">
        <v>2.0</v>
      </c>
      <c r="E11" s="36">
        <v>100.0</v>
      </c>
      <c r="F11" s="37">
        <v>3.0</v>
      </c>
      <c r="G11" s="37">
        <v>6.0</v>
      </c>
      <c r="H11" s="38">
        <f t="shared" si="1"/>
        <v>1800</v>
      </c>
    </row>
    <row r="12">
      <c r="A12" s="32" t="s">
        <v>17</v>
      </c>
      <c r="B12" s="33"/>
      <c r="C12" s="34">
        <v>46096.0</v>
      </c>
      <c r="D12" s="35">
        <v>2.0</v>
      </c>
      <c r="E12" s="36">
        <v>100.0</v>
      </c>
      <c r="F12" s="37">
        <v>3.0</v>
      </c>
      <c r="G12" s="37">
        <v>8.0</v>
      </c>
      <c r="H12" s="38">
        <f t="shared" si="1"/>
        <v>2400</v>
      </c>
    </row>
    <row r="13">
      <c r="A13" s="32" t="s">
        <v>17</v>
      </c>
      <c r="B13" s="33"/>
      <c r="C13" s="34">
        <v>46103.0</v>
      </c>
      <c r="D13" s="35">
        <v>2.0</v>
      </c>
      <c r="E13" s="36">
        <v>100.0</v>
      </c>
      <c r="F13" s="37">
        <v>3.0</v>
      </c>
      <c r="G13" s="37">
        <v>10.0</v>
      </c>
      <c r="H13" s="38">
        <f t="shared" si="1"/>
        <v>3000</v>
      </c>
    </row>
    <row r="14">
      <c r="A14" s="32" t="s">
        <v>17</v>
      </c>
      <c r="B14" s="33"/>
      <c r="C14" s="34">
        <v>46110.0</v>
      </c>
      <c r="D14" s="35">
        <v>2.0</v>
      </c>
      <c r="E14" s="36">
        <v>110.0</v>
      </c>
      <c r="F14" s="37">
        <v>3.0</v>
      </c>
      <c r="G14" s="37">
        <v>6.0</v>
      </c>
      <c r="H14" s="38">
        <f t="shared" si="1"/>
        <v>1980</v>
      </c>
    </row>
    <row r="15">
      <c r="A15" s="32" t="s">
        <v>17</v>
      </c>
      <c r="B15" s="33"/>
      <c r="C15" s="34">
        <v>46117.0</v>
      </c>
      <c r="D15" s="35">
        <v>2.0</v>
      </c>
      <c r="E15" s="36">
        <v>110.0</v>
      </c>
      <c r="F15" s="37">
        <v>3.0</v>
      </c>
      <c r="G15" s="37">
        <v>8.0</v>
      </c>
      <c r="H15" s="38">
        <f t="shared" si="1"/>
        <v>2640</v>
      </c>
    </row>
    <row r="16">
      <c r="A16" s="32" t="s">
        <v>17</v>
      </c>
      <c r="B16" s="33"/>
      <c r="C16" s="34">
        <v>46124.0</v>
      </c>
      <c r="D16" s="35">
        <v>2.0</v>
      </c>
      <c r="E16" s="36">
        <v>110.0</v>
      </c>
      <c r="F16" s="37">
        <v>3.0</v>
      </c>
      <c r="G16" s="37">
        <v>10.0</v>
      </c>
      <c r="H16" s="38">
        <f t="shared" si="1"/>
        <v>3300</v>
      </c>
      <c r="J16" s="39" t="s">
        <v>54</v>
      </c>
      <c r="K16" s="40"/>
      <c r="L16" s="40"/>
      <c r="M16" s="40"/>
      <c r="N16" s="40"/>
      <c r="O16" s="40"/>
      <c r="P16" s="41"/>
    </row>
    <row r="17">
      <c r="A17" s="32" t="s">
        <v>17</v>
      </c>
      <c r="B17" s="33"/>
      <c r="C17" s="34">
        <v>46131.0</v>
      </c>
      <c r="D17" s="35">
        <v>2.0</v>
      </c>
      <c r="E17" s="36">
        <v>120.0</v>
      </c>
      <c r="F17" s="37">
        <v>3.0</v>
      </c>
      <c r="G17" s="37">
        <v>6.0</v>
      </c>
      <c r="H17" s="38">
        <f t="shared" si="1"/>
        <v>2160</v>
      </c>
    </row>
  </sheetData>
  <mergeCells count="2">
    <mergeCell ref="J7:P7"/>
    <mergeCell ref="J16:P16"/>
  </mergeCells>
  <hyperlinks>
    <hyperlink display="Week at a Glance" location="'Week At a Glance'!A2" ref="J7"/>
    <hyperlink display="Week at a Glance" location="'Week At a Glance'!A2" ref="J16"/>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20</v>
      </c>
      <c r="B2" s="33" t="s">
        <v>68</v>
      </c>
      <c r="C2" s="34">
        <v>46026.0</v>
      </c>
      <c r="D2" s="35">
        <v>1.0</v>
      </c>
      <c r="E2" s="36">
        <v>25.0</v>
      </c>
      <c r="F2" s="37">
        <v>2.0</v>
      </c>
      <c r="G2" s="37">
        <v>10.0</v>
      </c>
      <c r="H2" s="38">
        <f t="shared" ref="H2:H17" si="1">E2*F2*G2</f>
        <v>500</v>
      </c>
    </row>
    <row r="3">
      <c r="A3" s="32" t="s">
        <v>20</v>
      </c>
      <c r="B3" s="33"/>
      <c r="C3" s="34">
        <v>46033.0</v>
      </c>
      <c r="D3" s="35">
        <v>1.0</v>
      </c>
      <c r="E3" s="36">
        <v>25.0</v>
      </c>
      <c r="F3" s="37">
        <v>2.0</v>
      </c>
      <c r="G3" s="37">
        <v>11.0</v>
      </c>
      <c r="H3" s="38">
        <f t="shared" si="1"/>
        <v>550</v>
      </c>
    </row>
    <row r="4">
      <c r="A4" s="32" t="s">
        <v>20</v>
      </c>
      <c r="B4" s="33"/>
      <c r="C4" s="34">
        <v>46040.0</v>
      </c>
      <c r="D4" s="35">
        <v>1.0</v>
      </c>
      <c r="E4" s="36">
        <v>25.0</v>
      </c>
      <c r="F4" s="37">
        <v>2.0</v>
      </c>
      <c r="G4" s="37">
        <v>12.0</v>
      </c>
      <c r="H4" s="38">
        <f t="shared" si="1"/>
        <v>600</v>
      </c>
    </row>
    <row r="5">
      <c r="A5" s="32" t="s">
        <v>20</v>
      </c>
      <c r="B5" s="33"/>
      <c r="C5" s="34">
        <v>46047.0</v>
      </c>
      <c r="D5" s="35">
        <v>1.0</v>
      </c>
      <c r="E5" s="36">
        <v>25.0</v>
      </c>
      <c r="F5" s="37">
        <v>2.0</v>
      </c>
      <c r="G5" s="37">
        <v>13.0</v>
      </c>
      <c r="H5" s="38">
        <f t="shared" si="1"/>
        <v>650</v>
      </c>
    </row>
    <row r="6">
      <c r="A6" s="32" t="s">
        <v>20</v>
      </c>
      <c r="B6" s="33"/>
      <c r="C6" s="34">
        <v>46054.0</v>
      </c>
      <c r="D6" s="35">
        <v>1.0</v>
      </c>
      <c r="E6" s="36">
        <v>25.0</v>
      </c>
      <c r="F6" s="37">
        <v>2.0</v>
      </c>
      <c r="G6" s="37">
        <v>14.0</v>
      </c>
      <c r="H6" s="38">
        <f t="shared" si="1"/>
        <v>700</v>
      </c>
    </row>
    <row r="7">
      <c r="A7" s="32" t="s">
        <v>20</v>
      </c>
      <c r="B7" s="33"/>
      <c r="C7" s="34">
        <v>46061.0</v>
      </c>
      <c r="D7" s="35">
        <v>1.0</v>
      </c>
      <c r="E7" s="36">
        <v>25.0</v>
      </c>
      <c r="F7" s="37">
        <v>2.0</v>
      </c>
      <c r="G7" s="37">
        <v>15.0</v>
      </c>
      <c r="H7" s="38">
        <f t="shared" si="1"/>
        <v>750</v>
      </c>
      <c r="J7" s="39" t="s">
        <v>54</v>
      </c>
      <c r="K7" s="40"/>
      <c r="L7" s="40"/>
      <c r="M7" s="40"/>
      <c r="N7" s="40"/>
      <c r="O7" s="40"/>
      <c r="P7" s="41"/>
    </row>
    <row r="8">
      <c r="A8" s="32" t="s">
        <v>20</v>
      </c>
      <c r="B8" s="33"/>
      <c r="C8" s="34">
        <v>46068.0</v>
      </c>
      <c r="D8" s="35">
        <v>1.0</v>
      </c>
      <c r="E8" s="36">
        <v>35.0</v>
      </c>
      <c r="F8" s="37">
        <v>2.0</v>
      </c>
      <c r="G8" s="37">
        <v>10.0</v>
      </c>
      <c r="H8" s="38">
        <f t="shared" si="1"/>
        <v>700</v>
      </c>
    </row>
    <row r="9">
      <c r="A9" s="32" t="s">
        <v>20</v>
      </c>
      <c r="B9" s="33"/>
      <c r="C9" s="34">
        <v>46075.0</v>
      </c>
      <c r="D9" s="35">
        <v>1.0</v>
      </c>
      <c r="E9" s="36">
        <v>35.0</v>
      </c>
      <c r="F9" s="37">
        <v>2.0</v>
      </c>
      <c r="G9" s="37">
        <v>11.0</v>
      </c>
      <c r="H9" s="38">
        <f t="shared" si="1"/>
        <v>770</v>
      </c>
    </row>
    <row r="10">
      <c r="A10" s="32" t="s">
        <v>20</v>
      </c>
      <c r="B10" s="33"/>
      <c r="C10" s="34">
        <v>46082.0</v>
      </c>
      <c r="D10" s="35">
        <v>1.0</v>
      </c>
      <c r="E10" s="36">
        <v>35.0</v>
      </c>
      <c r="F10" s="37">
        <v>2.0</v>
      </c>
      <c r="G10" s="37">
        <v>12.0</v>
      </c>
      <c r="H10" s="38">
        <f t="shared" si="1"/>
        <v>840</v>
      </c>
    </row>
    <row r="11">
      <c r="A11" s="32" t="s">
        <v>20</v>
      </c>
      <c r="B11" s="33"/>
      <c r="C11" s="34">
        <v>46089.0</v>
      </c>
      <c r="D11" s="35">
        <v>1.0</v>
      </c>
      <c r="E11" s="36">
        <v>35.0</v>
      </c>
      <c r="F11" s="37">
        <v>2.0</v>
      </c>
      <c r="G11" s="37">
        <v>13.0</v>
      </c>
      <c r="H11" s="38">
        <f t="shared" si="1"/>
        <v>910</v>
      </c>
    </row>
    <row r="12">
      <c r="A12" s="32" t="s">
        <v>20</v>
      </c>
      <c r="B12" s="33"/>
      <c r="C12" s="34">
        <v>46096.0</v>
      </c>
      <c r="D12" s="35">
        <v>1.0</v>
      </c>
      <c r="E12" s="36">
        <v>35.0</v>
      </c>
      <c r="F12" s="37">
        <v>2.0</v>
      </c>
      <c r="G12" s="37">
        <v>14.0</v>
      </c>
      <c r="H12" s="38">
        <f t="shared" si="1"/>
        <v>980</v>
      </c>
      <c r="J12" s="39" t="s">
        <v>54</v>
      </c>
      <c r="K12" s="40"/>
      <c r="L12" s="40"/>
      <c r="M12" s="40"/>
      <c r="N12" s="40"/>
      <c r="O12" s="40"/>
      <c r="P12" s="41"/>
    </row>
    <row r="13">
      <c r="A13" s="32" t="s">
        <v>20</v>
      </c>
      <c r="B13" s="33"/>
      <c r="C13" s="34">
        <v>46103.0</v>
      </c>
      <c r="D13" s="35">
        <v>1.0</v>
      </c>
      <c r="E13" s="36">
        <v>35.0</v>
      </c>
      <c r="F13" s="37">
        <v>2.0</v>
      </c>
      <c r="G13" s="37">
        <v>15.0</v>
      </c>
      <c r="H13" s="38">
        <f t="shared" si="1"/>
        <v>1050</v>
      </c>
    </row>
    <row r="14">
      <c r="A14" s="32" t="s">
        <v>20</v>
      </c>
      <c r="B14" s="33"/>
      <c r="C14" s="34">
        <v>46110.0</v>
      </c>
      <c r="D14" s="35">
        <v>1.0</v>
      </c>
      <c r="E14" s="36">
        <v>45.0</v>
      </c>
      <c r="F14" s="37">
        <v>2.0</v>
      </c>
      <c r="G14" s="37">
        <v>10.0</v>
      </c>
      <c r="H14" s="38">
        <f t="shared" si="1"/>
        <v>900</v>
      </c>
    </row>
    <row r="15">
      <c r="A15" s="32" t="s">
        <v>20</v>
      </c>
      <c r="B15" s="33"/>
      <c r="C15" s="34">
        <v>46117.0</v>
      </c>
      <c r="D15" s="35">
        <v>1.0</v>
      </c>
      <c r="E15" s="36">
        <v>45.0</v>
      </c>
      <c r="F15" s="37">
        <v>2.0</v>
      </c>
      <c r="G15" s="37">
        <v>11.0</v>
      </c>
      <c r="H15" s="38">
        <f t="shared" si="1"/>
        <v>990</v>
      </c>
    </row>
    <row r="16">
      <c r="A16" s="32" t="s">
        <v>20</v>
      </c>
      <c r="B16" s="33"/>
      <c r="C16" s="34">
        <v>46124.0</v>
      </c>
      <c r="D16" s="35">
        <v>1.0</v>
      </c>
      <c r="E16" s="36">
        <v>45.0</v>
      </c>
      <c r="F16" s="37">
        <v>2.0</v>
      </c>
      <c r="G16" s="37">
        <v>12.0</v>
      </c>
      <c r="H16" s="38">
        <f t="shared" si="1"/>
        <v>1080</v>
      </c>
    </row>
    <row r="17">
      <c r="A17" s="32" t="s">
        <v>20</v>
      </c>
      <c r="B17" s="33"/>
      <c r="C17" s="34">
        <v>46131.0</v>
      </c>
      <c r="D17" s="35">
        <v>1.0</v>
      </c>
      <c r="E17" s="36">
        <v>45.0</v>
      </c>
      <c r="F17" s="37">
        <v>2.0</v>
      </c>
      <c r="G17" s="37">
        <v>13.0</v>
      </c>
      <c r="H17" s="38">
        <f t="shared" si="1"/>
        <v>1170</v>
      </c>
    </row>
  </sheetData>
  <mergeCells count="2">
    <mergeCell ref="J7:P7"/>
    <mergeCell ref="J12:P12"/>
  </mergeCells>
  <hyperlinks>
    <hyperlink display="Week at a Glance" location="'Week At a Glance'!A2" ref="J7"/>
    <hyperlink display="Week at a Glance" location="'Week At a Glance'!A2" ref="J12"/>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11</v>
      </c>
      <c r="B2" s="33" t="s">
        <v>69</v>
      </c>
      <c r="C2" s="34">
        <v>46026.0</v>
      </c>
      <c r="D2" s="35">
        <v>2.0</v>
      </c>
      <c r="E2" s="36">
        <v>45.0</v>
      </c>
      <c r="F2" s="37">
        <v>3.0</v>
      </c>
      <c r="G2" s="37">
        <v>8.0</v>
      </c>
      <c r="H2" s="38">
        <f t="shared" ref="H2:H17" si="1">E2*F2*G2</f>
        <v>1080</v>
      </c>
    </row>
    <row r="3">
      <c r="A3" s="32" t="s">
        <v>11</v>
      </c>
      <c r="B3" s="33"/>
      <c r="C3" s="34">
        <v>46033.0</v>
      </c>
      <c r="D3" s="35">
        <v>2.0</v>
      </c>
      <c r="E3" s="36">
        <v>45.0</v>
      </c>
      <c r="F3" s="37">
        <v>3.0</v>
      </c>
      <c r="G3" s="37">
        <v>10.0</v>
      </c>
      <c r="H3" s="38">
        <f t="shared" si="1"/>
        <v>1350</v>
      </c>
    </row>
    <row r="4">
      <c r="A4" s="32" t="s">
        <v>11</v>
      </c>
      <c r="B4" s="33"/>
      <c r="C4" s="34">
        <v>46040.0</v>
      </c>
      <c r="D4" s="35">
        <v>2.0</v>
      </c>
      <c r="E4" s="36">
        <v>45.0</v>
      </c>
      <c r="F4" s="37">
        <v>3.0</v>
      </c>
      <c r="G4" s="37">
        <v>12.0</v>
      </c>
      <c r="H4" s="38">
        <f t="shared" si="1"/>
        <v>1620</v>
      </c>
    </row>
    <row r="5">
      <c r="A5" s="32" t="s">
        <v>11</v>
      </c>
      <c r="B5" s="33"/>
      <c r="C5" s="34">
        <v>46047.0</v>
      </c>
      <c r="D5" s="35">
        <v>2.0</v>
      </c>
      <c r="E5" s="36">
        <v>55.0</v>
      </c>
      <c r="F5" s="37">
        <v>3.0</v>
      </c>
      <c r="G5" s="37">
        <v>8.0</v>
      </c>
      <c r="H5" s="38">
        <f t="shared" si="1"/>
        <v>1320</v>
      </c>
    </row>
    <row r="6">
      <c r="A6" s="32" t="s">
        <v>11</v>
      </c>
      <c r="B6" s="33"/>
      <c r="C6" s="34">
        <v>46054.0</v>
      </c>
      <c r="D6" s="35">
        <v>2.0</v>
      </c>
      <c r="E6" s="36">
        <v>55.0</v>
      </c>
      <c r="F6" s="37">
        <v>3.0</v>
      </c>
      <c r="G6" s="37">
        <v>10.0</v>
      </c>
      <c r="H6" s="38">
        <f t="shared" si="1"/>
        <v>1650</v>
      </c>
    </row>
    <row r="7">
      <c r="A7" s="32" t="s">
        <v>11</v>
      </c>
      <c r="B7" s="33"/>
      <c r="C7" s="34">
        <v>46061.0</v>
      </c>
      <c r="D7" s="35">
        <v>2.0</v>
      </c>
      <c r="E7" s="36">
        <v>55.0</v>
      </c>
      <c r="F7" s="37">
        <v>3.0</v>
      </c>
      <c r="G7" s="37">
        <v>12.0</v>
      </c>
      <c r="H7" s="38">
        <f t="shared" si="1"/>
        <v>1980</v>
      </c>
      <c r="J7" s="39" t="s">
        <v>54</v>
      </c>
      <c r="K7" s="40"/>
      <c r="L7" s="40"/>
      <c r="M7" s="40"/>
      <c r="N7" s="40"/>
      <c r="O7" s="40"/>
      <c r="P7" s="41"/>
    </row>
    <row r="8">
      <c r="A8" s="32" t="s">
        <v>11</v>
      </c>
      <c r="B8" s="33"/>
      <c r="C8" s="34">
        <v>46068.0</v>
      </c>
      <c r="D8" s="35">
        <v>2.0</v>
      </c>
      <c r="E8" s="36">
        <v>65.0</v>
      </c>
      <c r="F8" s="37">
        <v>3.0</v>
      </c>
      <c r="G8" s="37">
        <v>8.0</v>
      </c>
      <c r="H8" s="38">
        <f t="shared" si="1"/>
        <v>1560</v>
      </c>
    </row>
    <row r="9">
      <c r="A9" s="32" t="s">
        <v>11</v>
      </c>
      <c r="B9" s="33"/>
      <c r="C9" s="34">
        <v>46075.0</v>
      </c>
      <c r="D9" s="35">
        <v>2.0</v>
      </c>
      <c r="E9" s="36">
        <v>65.0</v>
      </c>
      <c r="F9" s="37">
        <v>3.0</v>
      </c>
      <c r="G9" s="37">
        <v>10.0</v>
      </c>
      <c r="H9" s="38">
        <f t="shared" si="1"/>
        <v>1950</v>
      </c>
    </row>
    <row r="10">
      <c r="A10" s="32" t="s">
        <v>11</v>
      </c>
      <c r="B10" s="33"/>
      <c r="C10" s="34">
        <v>46082.0</v>
      </c>
      <c r="D10" s="35">
        <v>2.0</v>
      </c>
      <c r="E10" s="36">
        <v>65.0</v>
      </c>
      <c r="F10" s="37">
        <v>3.0</v>
      </c>
      <c r="G10" s="37">
        <v>12.0</v>
      </c>
      <c r="H10" s="38">
        <f t="shared" si="1"/>
        <v>2340</v>
      </c>
    </row>
    <row r="11">
      <c r="A11" s="32" t="s">
        <v>11</v>
      </c>
      <c r="B11" s="33"/>
      <c r="C11" s="34">
        <v>46089.0</v>
      </c>
      <c r="D11" s="35">
        <v>2.0</v>
      </c>
      <c r="E11" s="36">
        <v>75.0</v>
      </c>
      <c r="F11" s="37">
        <v>3.0</v>
      </c>
      <c r="G11" s="37">
        <v>8.0</v>
      </c>
      <c r="H11" s="38">
        <f t="shared" si="1"/>
        <v>1800</v>
      </c>
    </row>
    <row r="12">
      <c r="A12" s="32" t="s">
        <v>11</v>
      </c>
      <c r="B12" s="33"/>
      <c r="C12" s="34">
        <v>46096.0</v>
      </c>
      <c r="D12" s="35">
        <v>2.0</v>
      </c>
      <c r="E12" s="36">
        <v>75.0</v>
      </c>
      <c r="F12" s="37">
        <v>3.0</v>
      </c>
      <c r="G12" s="37">
        <v>10.0</v>
      </c>
      <c r="H12" s="38">
        <f t="shared" si="1"/>
        <v>2250</v>
      </c>
    </row>
    <row r="13">
      <c r="A13" s="32" t="s">
        <v>11</v>
      </c>
      <c r="B13" s="33"/>
      <c r="C13" s="34">
        <v>46103.0</v>
      </c>
      <c r="D13" s="35">
        <v>2.0</v>
      </c>
      <c r="E13" s="36">
        <v>75.0</v>
      </c>
      <c r="F13" s="37">
        <v>3.0</v>
      </c>
      <c r="G13" s="37">
        <v>12.0</v>
      </c>
      <c r="H13" s="38">
        <f t="shared" si="1"/>
        <v>2700</v>
      </c>
    </row>
    <row r="14">
      <c r="A14" s="32" t="s">
        <v>11</v>
      </c>
      <c r="B14" s="33"/>
      <c r="C14" s="34">
        <v>46110.0</v>
      </c>
      <c r="D14" s="35">
        <v>2.0</v>
      </c>
      <c r="E14" s="36">
        <v>85.0</v>
      </c>
      <c r="F14" s="37">
        <v>3.0</v>
      </c>
      <c r="G14" s="37">
        <v>8.0</v>
      </c>
      <c r="H14" s="38">
        <f t="shared" si="1"/>
        <v>2040</v>
      </c>
    </row>
    <row r="15">
      <c r="A15" s="32" t="s">
        <v>11</v>
      </c>
      <c r="B15" s="33"/>
      <c r="C15" s="34">
        <v>46117.0</v>
      </c>
      <c r="D15" s="35">
        <v>2.0</v>
      </c>
      <c r="E15" s="36">
        <v>85.0</v>
      </c>
      <c r="F15" s="37">
        <v>3.0</v>
      </c>
      <c r="G15" s="37">
        <v>10.0</v>
      </c>
      <c r="H15" s="38">
        <f t="shared" si="1"/>
        <v>2550</v>
      </c>
    </row>
    <row r="16">
      <c r="A16" s="32" t="s">
        <v>11</v>
      </c>
      <c r="B16" s="33"/>
      <c r="C16" s="34">
        <v>46124.0</v>
      </c>
      <c r="D16" s="35">
        <v>2.0</v>
      </c>
      <c r="E16" s="36">
        <v>85.0</v>
      </c>
      <c r="F16" s="37">
        <v>3.0</v>
      </c>
      <c r="G16" s="37">
        <v>12.0</v>
      </c>
      <c r="H16" s="38">
        <f t="shared" si="1"/>
        <v>3060</v>
      </c>
    </row>
    <row r="17">
      <c r="A17" s="32" t="s">
        <v>11</v>
      </c>
      <c r="B17" s="33"/>
      <c r="C17" s="34">
        <v>46131.0</v>
      </c>
      <c r="D17" s="35">
        <v>2.0</v>
      </c>
      <c r="E17" s="36">
        <v>95.0</v>
      </c>
      <c r="F17" s="37">
        <v>3.0</v>
      </c>
      <c r="G17" s="37">
        <v>8.0</v>
      </c>
      <c r="H17" s="38">
        <f t="shared" si="1"/>
        <v>2280</v>
      </c>
      <c r="J17" s="39" t="s">
        <v>54</v>
      </c>
      <c r="K17" s="40"/>
      <c r="L17" s="40"/>
      <c r="M17" s="40"/>
      <c r="N17" s="40"/>
      <c r="O17" s="40"/>
      <c r="P17" s="41"/>
    </row>
  </sheetData>
  <mergeCells count="2">
    <mergeCell ref="J7:P7"/>
    <mergeCell ref="J17:P17"/>
  </mergeCells>
  <hyperlinks>
    <hyperlink display="Week at a Glance" location="'Week At a Glance'!A2" ref="J7"/>
    <hyperlink display="Week at a Glance" location="'Week At a Glance'!A2" ref="J17"/>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25</v>
      </c>
      <c r="B2" s="33" t="s">
        <v>53</v>
      </c>
      <c r="C2" s="34">
        <v>46025.0</v>
      </c>
      <c r="D2" s="35">
        <v>1.0</v>
      </c>
      <c r="E2" s="36">
        <v>25.0</v>
      </c>
      <c r="F2" s="37">
        <v>2.0</v>
      </c>
      <c r="G2" s="37">
        <v>15.0</v>
      </c>
      <c r="H2" s="38">
        <f t="shared" ref="H2:H17" si="1">E2*F2*G2</f>
        <v>750</v>
      </c>
    </row>
    <row r="3">
      <c r="A3" s="32" t="s">
        <v>25</v>
      </c>
      <c r="B3" s="33"/>
      <c r="C3" s="34">
        <v>46032.0</v>
      </c>
      <c r="D3" s="35">
        <v>1.0</v>
      </c>
      <c r="E3" s="36">
        <v>25.0</v>
      </c>
      <c r="F3" s="37">
        <v>2.0</v>
      </c>
      <c r="G3" s="37">
        <v>17.0</v>
      </c>
      <c r="H3" s="38">
        <f t="shared" si="1"/>
        <v>850</v>
      </c>
    </row>
    <row r="4">
      <c r="A4" s="32" t="s">
        <v>25</v>
      </c>
      <c r="B4" s="33"/>
      <c r="C4" s="34">
        <v>46039.0</v>
      </c>
      <c r="D4" s="35">
        <v>1.0</v>
      </c>
      <c r="E4" s="36">
        <v>25.0</v>
      </c>
      <c r="F4" s="37">
        <v>2.0</v>
      </c>
      <c r="G4" s="37">
        <v>20.0</v>
      </c>
      <c r="H4" s="38">
        <f t="shared" si="1"/>
        <v>1000</v>
      </c>
    </row>
    <row r="5">
      <c r="A5" s="32" t="s">
        <v>25</v>
      </c>
      <c r="B5" s="33"/>
      <c r="C5" s="34">
        <v>46046.0</v>
      </c>
      <c r="D5" s="35">
        <v>1.0</v>
      </c>
      <c r="E5" s="36">
        <v>35.0</v>
      </c>
      <c r="F5" s="37">
        <v>2.0</v>
      </c>
      <c r="G5" s="37">
        <v>15.0</v>
      </c>
      <c r="H5" s="38">
        <f t="shared" si="1"/>
        <v>1050</v>
      </c>
    </row>
    <row r="6">
      <c r="A6" s="32" t="s">
        <v>25</v>
      </c>
      <c r="B6" s="33"/>
      <c r="C6" s="34">
        <v>46053.0</v>
      </c>
      <c r="D6" s="35">
        <v>1.0</v>
      </c>
      <c r="E6" s="36">
        <v>35.0</v>
      </c>
      <c r="F6" s="37">
        <v>2.0</v>
      </c>
      <c r="G6" s="37">
        <v>17.0</v>
      </c>
      <c r="H6" s="38">
        <f t="shared" si="1"/>
        <v>1190</v>
      </c>
    </row>
    <row r="7">
      <c r="A7" s="32" t="s">
        <v>25</v>
      </c>
      <c r="B7" s="33"/>
      <c r="C7" s="34">
        <v>46060.0</v>
      </c>
      <c r="D7" s="35">
        <v>1.0</v>
      </c>
      <c r="E7" s="36">
        <v>35.0</v>
      </c>
      <c r="F7" s="37">
        <v>2.0</v>
      </c>
      <c r="G7" s="37">
        <v>20.0</v>
      </c>
      <c r="H7" s="38">
        <f t="shared" si="1"/>
        <v>1400</v>
      </c>
      <c r="J7" s="39" t="s">
        <v>54</v>
      </c>
      <c r="K7" s="40"/>
      <c r="L7" s="40"/>
      <c r="M7" s="40"/>
      <c r="N7" s="40"/>
      <c r="O7" s="40"/>
      <c r="P7" s="41"/>
    </row>
    <row r="8">
      <c r="A8" s="32" t="s">
        <v>25</v>
      </c>
      <c r="B8" s="33"/>
      <c r="C8" s="34">
        <v>46067.0</v>
      </c>
      <c r="D8" s="35">
        <v>1.0</v>
      </c>
      <c r="E8" s="36">
        <v>35.0</v>
      </c>
      <c r="F8" s="37">
        <v>2.0</v>
      </c>
      <c r="G8" s="37">
        <v>15.0</v>
      </c>
      <c r="H8" s="38">
        <f t="shared" si="1"/>
        <v>1050</v>
      </c>
    </row>
    <row r="9">
      <c r="A9" s="32" t="s">
        <v>25</v>
      </c>
      <c r="B9" s="33"/>
      <c r="C9" s="34">
        <v>46074.0</v>
      </c>
      <c r="D9" s="35">
        <v>1.0</v>
      </c>
      <c r="E9" s="36">
        <v>35.0</v>
      </c>
      <c r="F9" s="37">
        <v>2.0</v>
      </c>
      <c r="G9" s="37">
        <v>17.0</v>
      </c>
      <c r="H9" s="38">
        <f t="shared" si="1"/>
        <v>1190</v>
      </c>
    </row>
    <row r="10">
      <c r="A10" s="32" t="s">
        <v>25</v>
      </c>
      <c r="B10" s="33"/>
      <c r="C10" s="34">
        <v>46081.0</v>
      </c>
      <c r="D10" s="35">
        <v>1.0</v>
      </c>
      <c r="E10" s="36">
        <v>35.0</v>
      </c>
      <c r="F10" s="37">
        <v>2.0</v>
      </c>
      <c r="G10" s="37">
        <v>20.0</v>
      </c>
      <c r="H10" s="38">
        <f t="shared" si="1"/>
        <v>1400</v>
      </c>
    </row>
    <row r="11">
      <c r="A11" s="32" t="s">
        <v>25</v>
      </c>
      <c r="B11" s="33"/>
      <c r="C11" s="34">
        <v>46088.0</v>
      </c>
      <c r="D11" s="35">
        <v>1.0</v>
      </c>
      <c r="E11" s="36">
        <v>45.0</v>
      </c>
      <c r="F11" s="37">
        <v>2.0</v>
      </c>
      <c r="G11" s="37">
        <v>15.0</v>
      </c>
      <c r="H11" s="38">
        <f t="shared" si="1"/>
        <v>1350</v>
      </c>
    </row>
    <row r="12">
      <c r="A12" s="32" t="s">
        <v>25</v>
      </c>
      <c r="B12" s="33"/>
      <c r="C12" s="34">
        <v>46095.0</v>
      </c>
      <c r="D12" s="35">
        <v>1.0</v>
      </c>
      <c r="E12" s="36">
        <v>45.0</v>
      </c>
      <c r="F12" s="37">
        <v>2.0</v>
      </c>
      <c r="G12" s="37">
        <v>17.0</v>
      </c>
      <c r="H12" s="38">
        <f t="shared" si="1"/>
        <v>1530</v>
      </c>
    </row>
    <row r="13">
      <c r="A13" s="32" t="s">
        <v>25</v>
      </c>
      <c r="B13" s="33"/>
      <c r="C13" s="34">
        <v>46102.0</v>
      </c>
      <c r="D13" s="35">
        <v>1.0</v>
      </c>
      <c r="E13" s="36">
        <v>45.0</v>
      </c>
      <c r="F13" s="37">
        <v>2.0</v>
      </c>
      <c r="G13" s="37">
        <v>20.0</v>
      </c>
      <c r="H13" s="38">
        <f t="shared" si="1"/>
        <v>1800</v>
      </c>
    </row>
    <row r="14">
      <c r="A14" s="32" t="s">
        <v>25</v>
      </c>
      <c r="B14" s="33"/>
      <c r="C14" s="34">
        <v>46109.0</v>
      </c>
      <c r="D14" s="35">
        <v>1.0</v>
      </c>
      <c r="E14" s="36">
        <v>45.0</v>
      </c>
      <c r="F14" s="37">
        <v>2.0</v>
      </c>
      <c r="G14" s="37">
        <v>15.0</v>
      </c>
      <c r="H14" s="38">
        <f t="shared" si="1"/>
        <v>1350</v>
      </c>
    </row>
    <row r="15">
      <c r="A15" s="32" t="s">
        <v>25</v>
      </c>
      <c r="B15" s="33"/>
      <c r="C15" s="34">
        <v>46116.0</v>
      </c>
      <c r="D15" s="35">
        <v>1.0</v>
      </c>
      <c r="E15" s="36">
        <v>45.0</v>
      </c>
      <c r="F15" s="37">
        <v>2.0</v>
      </c>
      <c r="G15" s="37">
        <v>17.0</v>
      </c>
      <c r="H15" s="38">
        <f t="shared" si="1"/>
        <v>1530</v>
      </c>
    </row>
    <row r="16">
      <c r="A16" s="32" t="s">
        <v>25</v>
      </c>
      <c r="B16" s="33"/>
      <c r="C16" s="34">
        <v>46123.0</v>
      </c>
      <c r="D16" s="35">
        <v>1.0</v>
      </c>
      <c r="E16" s="36">
        <v>45.0</v>
      </c>
      <c r="F16" s="37">
        <v>2.0</v>
      </c>
      <c r="G16" s="37">
        <v>20.0</v>
      </c>
      <c r="H16" s="38">
        <f t="shared" si="1"/>
        <v>1800</v>
      </c>
    </row>
    <row r="17">
      <c r="A17" s="32" t="s">
        <v>25</v>
      </c>
      <c r="B17" s="33"/>
      <c r="C17" s="34">
        <v>46130.0</v>
      </c>
      <c r="D17" s="35">
        <v>1.0</v>
      </c>
      <c r="E17" s="36">
        <v>45.0</v>
      </c>
      <c r="F17" s="37">
        <v>2.0</v>
      </c>
      <c r="G17" s="37">
        <v>25.0</v>
      </c>
      <c r="H17" s="38">
        <f t="shared" si="1"/>
        <v>2250</v>
      </c>
    </row>
    <row r="19">
      <c r="J19" s="39" t="s">
        <v>54</v>
      </c>
      <c r="K19" s="40"/>
      <c r="L19" s="40"/>
      <c r="M19" s="40"/>
      <c r="N19" s="40"/>
      <c r="O19" s="40"/>
      <c r="P19" s="41"/>
    </row>
  </sheetData>
  <mergeCells count="2">
    <mergeCell ref="J7:P7"/>
    <mergeCell ref="J19:P19"/>
  </mergeCells>
  <hyperlinks>
    <hyperlink display="Week at a Glance" location="'Week At a Glance'!A2" ref="J7"/>
    <hyperlink display="Week at a Glance" location="'Week At a Glance'!A2" ref="J19"/>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7.0"/>
    <col customWidth="1" min="4" max="4" width="22.38"/>
  </cols>
  <sheetData>
    <row r="1">
      <c r="A1" s="29" t="s">
        <v>45</v>
      </c>
      <c r="B1" s="30" t="s">
        <v>46</v>
      </c>
      <c r="C1" s="30" t="s">
        <v>47</v>
      </c>
      <c r="D1" s="30" t="s">
        <v>48</v>
      </c>
      <c r="E1" s="30" t="s">
        <v>49</v>
      </c>
      <c r="F1" s="30" t="s">
        <v>50</v>
      </c>
      <c r="G1" s="30" t="s">
        <v>51</v>
      </c>
      <c r="H1" s="31" t="s">
        <v>52</v>
      </c>
    </row>
    <row r="2">
      <c r="A2" s="32" t="s">
        <v>34</v>
      </c>
      <c r="B2" s="33" t="s">
        <v>70</v>
      </c>
      <c r="C2" s="34">
        <v>46025.0</v>
      </c>
      <c r="D2" s="35">
        <v>1.0</v>
      </c>
      <c r="E2" s="36">
        <v>10.0</v>
      </c>
      <c r="F2" s="37">
        <v>3.0</v>
      </c>
      <c r="G2" s="37">
        <v>10.0</v>
      </c>
      <c r="H2" s="38">
        <f t="shared" ref="H2:H17" si="1">E2*F2*G2</f>
        <v>300</v>
      </c>
    </row>
    <row r="3">
      <c r="A3" s="32" t="s">
        <v>34</v>
      </c>
      <c r="B3" s="33"/>
      <c r="C3" s="34">
        <v>46032.0</v>
      </c>
      <c r="D3" s="35">
        <v>1.0</v>
      </c>
      <c r="E3" s="36">
        <v>10.0</v>
      </c>
      <c r="F3" s="37">
        <v>3.0</v>
      </c>
      <c r="G3" s="37">
        <v>12.0</v>
      </c>
      <c r="H3" s="38">
        <f t="shared" si="1"/>
        <v>360</v>
      </c>
    </row>
    <row r="4">
      <c r="A4" s="32" t="s">
        <v>34</v>
      </c>
      <c r="B4" s="33"/>
      <c r="C4" s="34">
        <v>46039.0</v>
      </c>
      <c r="D4" s="35">
        <v>1.0</v>
      </c>
      <c r="E4" s="36">
        <v>10.0</v>
      </c>
      <c r="F4" s="37">
        <v>3.0</v>
      </c>
      <c r="G4" s="37">
        <v>14.0</v>
      </c>
      <c r="H4" s="38">
        <f t="shared" si="1"/>
        <v>420</v>
      </c>
    </row>
    <row r="5">
      <c r="A5" s="32" t="s">
        <v>34</v>
      </c>
      <c r="B5" s="33"/>
      <c r="C5" s="34">
        <v>46046.0</v>
      </c>
      <c r="D5" s="35">
        <v>1.0</v>
      </c>
      <c r="E5" s="36">
        <v>10.0</v>
      </c>
      <c r="F5" s="37">
        <v>3.0</v>
      </c>
      <c r="G5" s="37">
        <v>16.0</v>
      </c>
      <c r="H5" s="38">
        <f t="shared" si="1"/>
        <v>480</v>
      </c>
    </row>
    <row r="6">
      <c r="A6" s="32" t="s">
        <v>34</v>
      </c>
      <c r="B6" s="33"/>
      <c r="C6" s="34">
        <v>46053.0</v>
      </c>
      <c r="D6" s="35">
        <v>1.0</v>
      </c>
      <c r="E6" s="36">
        <v>10.0</v>
      </c>
      <c r="F6" s="37">
        <v>3.0</v>
      </c>
      <c r="G6" s="37">
        <v>20.0</v>
      </c>
      <c r="H6" s="38">
        <f t="shared" si="1"/>
        <v>600</v>
      </c>
    </row>
    <row r="7">
      <c r="A7" s="32" t="s">
        <v>34</v>
      </c>
      <c r="B7" s="33"/>
      <c r="C7" s="34">
        <v>46060.0</v>
      </c>
      <c r="D7" s="35">
        <v>1.0</v>
      </c>
      <c r="E7" s="36">
        <v>15.0</v>
      </c>
      <c r="F7" s="37">
        <v>3.0</v>
      </c>
      <c r="G7" s="37">
        <v>10.0</v>
      </c>
      <c r="H7" s="38">
        <f t="shared" si="1"/>
        <v>450</v>
      </c>
    </row>
    <row r="8">
      <c r="A8" s="32" t="s">
        <v>34</v>
      </c>
      <c r="B8" s="33"/>
      <c r="C8" s="34">
        <v>46067.0</v>
      </c>
      <c r="D8" s="35">
        <v>1.0</v>
      </c>
      <c r="E8" s="36">
        <v>15.0</v>
      </c>
      <c r="F8" s="37">
        <v>3.0</v>
      </c>
      <c r="G8" s="37">
        <v>12.0</v>
      </c>
      <c r="H8" s="38">
        <f t="shared" si="1"/>
        <v>540</v>
      </c>
      <c r="J8" s="39" t="s">
        <v>54</v>
      </c>
      <c r="K8" s="40"/>
      <c r="L8" s="40"/>
      <c r="M8" s="40"/>
      <c r="N8" s="40"/>
      <c r="O8" s="40"/>
      <c r="P8" s="41"/>
    </row>
    <row r="9">
      <c r="A9" s="32" t="s">
        <v>34</v>
      </c>
      <c r="B9" s="33"/>
      <c r="C9" s="34">
        <v>46074.0</v>
      </c>
      <c r="D9" s="35">
        <v>1.0</v>
      </c>
      <c r="E9" s="36">
        <v>15.0</v>
      </c>
      <c r="F9" s="37">
        <v>3.0</v>
      </c>
      <c r="G9" s="37">
        <v>14.0</v>
      </c>
      <c r="H9" s="38">
        <f t="shared" si="1"/>
        <v>630</v>
      </c>
    </row>
    <row r="10">
      <c r="A10" s="32" t="s">
        <v>34</v>
      </c>
      <c r="B10" s="33"/>
      <c r="C10" s="34">
        <v>46081.0</v>
      </c>
      <c r="D10" s="35">
        <v>1.0</v>
      </c>
      <c r="E10" s="36">
        <v>15.0</v>
      </c>
      <c r="F10" s="37">
        <v>3.0</v>
      </c>
      <c r="G10" s="37">
        <v>16.0</v>
      </c>
      <c r="H10" s="38">
        <f t="shared" si="1"/>
        <v>720</v>
      </c>
    </row>
    <row r="11">
      <c r="A11" s="32" t="s">
        <v>34</v>
      </c>
      <c r="B11" s="33"/>
      <c r="C11" s="34">
        <v>46088.0</v>
      </c>
      <c r="D11" s="35">
        <v>1.0</v>
      </c>
      <c r="E11" s="36">
        <v>15.0</v>
      </c>
      <c r="F11" s="37">
        <v>3.0</v>
      </c>
      <c r="G11" s="37">
        <v>20.0</v>
      </c>
      <c r="H11" s="38">
        <f t="shared" si="1"/>
        <v>900</v>
      </c>
    </row>
    <row r="12">
      <c r="A12" s="32" t="s">
        <v>34</v>
      </c>
      <c r="B12" s="33"/>
      <c r="C12" s="34">
        <v>46095.0</v>
      </c>
      <c r="D12" s="35">
        <v>1.0</v>
      </c>
      <c r="E12" s="36">
        <v>20.0</v>
      </c>
      <c r="F12" s="37">
        <v>3.0</v>
      </c>
      <c r="G12" s="37">
        <v>10.0</v>
      </c>
      <c r="H12" s="38">
        <f t="shared" si="1"/>
        <v>600</v>
      </c>
    </row>
    <row r="13">
      <c r="A13" s="32" t="s">
        <v>34</v>
      </c>
      <c r="B13" s="33"/>
      <c r="C13" s="34">
        <v>46102.0</v>
      </c>
      <c r="D13" s="35">
        <v>1.0</v>
      </c>
      <c r="E13" s="36">
        <v>20.0</v>
      </c>
      <c r="F13" s="37">
        <v>3.0</v>
      </c>
      <c r="G13" s="37">
        <v>12.0</v>
      </c>
      <c r="H13" s="38">
        <f t="shared" si="1"/>
        <v>720</v>
      </c>
    </row>
    <row r="14">
      <c r="A14" s="32" t="s">
        <v>34</v>
      </c>
      <c r="B14" s="33"/>
      <c r="C14" s="34">
        <v>46109.0</v>
      </c>
      <c r="D14" s="35">
        <v>1.0</v>
      </c>
      <c r="E14" s="36">
        <v>20.0</v>
      </c>
      <c r="F14" s="37">
        <v>3.0</v>
      </c>
      <c r="G14" s="37">
        <v>14.0</v>
      </c>
      <c r="H14" s="38">
        <f t="shared" si="1"/>
        <v>840</v>
      </c>
    </row>
    <row r="15">
      <c r="A15" s="32" t="s">
        <v>34</v>
      </c>
      <c r="B15" s="33"/>
      <c r="C15" s="34">
        <v>46116.0</v>
      </c>
      <c r="D15" s="35">
        <v>1.0</v>
      </c>
      <c r="E15" s="36">
        <v>20.0</v>
      </c>
      <c r="F15" s="37">
        <v>3.0</v>
      </c>
      <c r="G15" s="37">
        <v>16.0</v>
      </c>
      <c r="H15" s="38">
        <f t="shared" si="1"/>
        <v>960</v>
      </c>
    </row>
    <row r="16">
      <c r="A16" s="32" t="s">
        <v>34</v>
      </c>
      <c r="B16" s="33"/>
      <c r="C16" s="34">
        <v>46123.0</v>
      </c>
      <c r="D16" s="35">
        <v>1.0</v>
      </c>
      <c r="E16" s="36">
        <v>20.0</v>
      </c>
      <c r="F16" s="37">
        <v>3.0</v>
      </c>
      <c r="G16" s="37">
        <v>20.0</v>
      </c>
      <c r="H16" s="38">
        <f t="shared" si="1"/>
        <v>1200</v>
      </c>
    </row>
    <row r="17">
      <c r="A17" s="32" t="s">
        <v>34</v>
      </c>
      <c r="B17" s="33"/>
      <c r="C17" s="34">
        <v>46130.0</v>
      </c>
      <c r="D17" s="35">
        <v>1.0</v>
      </c>
      <c r="E17" s="36">
        <v>25.0</v>
      </c>
      <c r="F17" s="37">
        <v>3.0</v>
      </c>
      <c r="G17" s="37">
        <v>10.0</v>
      </c>
      <c r="H17" s="38">
        <f t="shared" si="1"/>
        <v>750</v>
      </c>
    </row>
    <row r="20">
      <c r="J20" s="39" t="s">
        <v>54</v>
      </c>
      <c r="K20" s="40"/>
      <c r="L20" s="40"/>
      <c r="M20" s="40"/>
      <c r="N20" s="40"/>
      <c r="O20" s="40"/>
      <c r="P20" s="41"/>
    </row>
  </sheetData>
  <mergeCells count="2">
    <mergeCell ref="J8:P8"/>
    <mergeCell ref="J20:P20"/>
  </mergeCells>
  <hyperlinks>
    <hyperlink display="Week at a Glance" location="'Week At a Glance'!A2" ref="J8"/>
    <hyperlink display="Week at a Glance" location="'Week At a Glance'!A2" ref="J20"/>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s>
  <sheetData>
    <row r="1">
      <c r="A1" s="45" t="s">
        <v>35</v>
      </c>
    </row>
    <row r="2">
      <c r="A2" s="46" t="s">
        <v>71</v>
      </c>
    </row>
    <row r="3">
      <c r="A3" s="46" t="s">
        <v>72</v>
      </c>
    </row>
    <row r="4">
      <c r="A4" s="46" t="s">
        <v>40</v>
      </c>
    </row>
    <row r="5">
      <c r="A5" s="47" t="s">
        <v>41</v>
      </c>
    </row>
    <row r="6">
      <c r="A6" s="46" t="s">
        <v>73</v>
      </c>
    </row>
    <row r="7">
      <c r="A7" s="46" t="s">
        <v>74</v>
      </c>
    </row>
    <row r="8">
      <c r="A8" s="46" t="s">
        <v>75</v>
      </c>
      <c r="D8" s="39" t="s">
        <v>54</v>
      </c>
      <c r="E8" s="40"/>
      <c r="F8" s="40"/>
      <c r="G8" s="40"/>
      <c r="H8" s="40"/>
      <c r="I8" s="40"/>
      <c r="J8" s="41"/>
    </row>
  </sheetData>
  <mergeCells count="1">
    <mergeCell ref="D8:J8"/>
  </mergeCells>
  <hyperlinks>
    <hyperlink display="Abs" location="Abs!A1" ref="A1"/>
    <hyperlink display="Week at a Glance" location="'Week At a Glance'!A2" ref="D8"/>
  </hyperlinks>
  <drawing r:id="rId1"/>
</worksheet>
</file>